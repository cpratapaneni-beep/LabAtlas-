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Label" sheetId="2" state="visible" r:id="rId4"/>
    <sheet name="Records" sheetId="3" state="visible" r:id="rId5"/>
    <sheet name="Progress" sheetId="4" state="visible" r:id="rId6"/>
  </sheets>
  <definedNames>
    <definedName function="false" hidden="false" localSheetId="1" name="_xlnm.Print_Titles" vbProcedure="false">Label!$4:$4</definedName>
    <definedName function="false" hidden="true" localSheetId="1" name="_xlnm._FilterDatabase" vbProcedure="false">Label!$A$4:$J$155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<sst xmlns="http://schemas.openxmlformats.org/spreadsheetml/2006/main" count="4559" uniqueCount="3054">
  <si>
    <t xml:space="preserve">Emory Lab Atlas: wet/dry labelling check</t>
  </si>
  <si>
    <t xml:space="preserve">150 investigators, one row each on the Label sheet. Allow about 2 minutes a person.</t>
  </si>
  <si>
    <t xml:space="preserve">Why</t>
  </si>
  <si>
    <t xml:space="preserve">The atlas places every investigator on a wet/dry axis with a model. Its accuracy was measured against labels that Claude assigned by reading each record. This sheet checks those labels: you label the same people yourself, without seeing Claude’s label or the model’s, and the two are compared.</t>
  </si>
  <si>
    <t xml:space="preserve">Keep it blind</t>
  </si>
  <si>
    <t xml:space="preserve">Do not open the atlas, the repository or anyone else’s copy of this sheet while you label. If two of you are labelling, work separately and do not compare notes until both are done.</t>
  </si>
  <si>
    <t xml:space="preserve">What to do</t>
  </si>
  <si>
    <t xml:space="preserve">1. Go to the Label sheet. For each row, click "Read record" to see the person’s full record (publication titles, profile text, grants, units, degrees), then click "Back to label".
2. In the yellow Label cell pick W, D, H or U from the list (definitions below).
3. In the yellow Sure? cell pick 1 if you are sure, 2 if it is a judgment call.
4. Optionally, a short note: the reason, especially for H, U or anything surprising.
5. Optional, and only after step 2: if you know the lab or look at its website and would label it differently from what the record alone suggests, put that label in "After web check".
Edit only the yellow cells. Row 5 on the Label sheet is a worked example and is not scored.</t>
  </si>
  <si>
    <t xml:space="preserve">W  wet</t>
  </si>
  <si>
    <t xml:space="preserve">Most of the output rests on bench or laboratory experiments that the group itself runs: cells, molecules, proteins, nucleic acids, microbes, tissues and specimens processed in a lab; animal models (mouse, rat, non-human primate, zebrafish, fly, worm); chemistry and synthesis; structural biology; biomaterials and devices built and tested at the bench; electrophysiology in tissue or animals; experimental imaging of specimens or animals.</t>
  </si>
  <si>
    <t xml:space="preserve">D  dry</t>
  </si>
  <si>
    <t xml:space="preserve">Most of the output is research without a bench: computational biology, bioinformatics, statistics; epidemiology and population health; clinical research on patients, records, registries or trials; case reports; surveys, interviews, qualitative and behavioural research; health services, policy, economics and education; image interpretation. Clinical research counts as dry: the axis is bench versus no bench, not laboratory versus computer.</t>
  </si>
  <si>
    <t xml:space="preserve">H  hybrid</t>
  </si>
  <si>
    <t xml:space="preserve">Both modes are a substantial, deliberate part of the output (roughly a quarter or more each), or the group pairs bench experiments with computational or clinical-cohort analysis as its method (mouse models alongside patient cohorts; sequencing experiments alongside the bioinformatics built to read them).</t>
  </si>
  <si>
    <t xml:space="preserve">U  can’t tell</t>
  </si>
  <si>
    <t xml:space="preserve">Too little to judge: no profile and only a couple of uninformative titles, or only editorials, commentaries and guidelines.</t>
  </si>
  <si>
    <t xml:space="preserve">Reading rules</t>
  </si>
  <si>
    <t xml:space="preserve">• Judge the person, not the department. A pathologist can run a bench lab or only read slides.
• Weigh the bulk of the titles, not the most striking one. One mouse paper among forty clinical papers is still dry.
• Multi-centre trials and consortium papers count as what they are (a clinician’s trial papers are dry).
• Set aside titles plainly written by a namesake (a different field or era).
• Clinic addresses, board certifications and languages spoken say someone is a clinician; they do not by themselves say whether they also run a bench.</t>
  </si>
  <si>
    <t xml:space="preserve">When done</t>
  </si>
  <si>
    <t xml:space="preserve">Save the file with your initials in the name (for example labelling_sheet_JS.xlsx) and send it back. The Progress sheet shows how many rows are left.</t>
  </si>
  <si>
    <t xml:space="preserve">Label each person W, D, H or U. Edit only the yellow cells.</t>
  </si>
  <si>
    <t xml:space="preserve">W wet (bench)   D dry (no bench; clinical counts as dry)   H hybrid (both, a quarter or more each)   U can’t tell.   Sure?: 1 sure, 2 judgment call.   Full definitions on the Instructions sheet.</t>
  </si>
  <si>
    <t xml:space="preserve">Code</t>
  </si>
  <si>
    <t xml:space="preserve">Name</t>
  </si>
  <si>
    <t xml:space="preserve">Units</t>
  </si>
  <si>
    <t xml:space="preserve">Degrees</t>
  </si>
  <si>
    <t xml:space="preserve">Titles</t>
  </si>
  <si>
    <t xml:space="preserve">Record</t>
  </si>
  <si>
    <t xml:space="preserve">Label</t>
  </si>
  <si>
    <t xml:space="preserve">Sure?</t>
  </si>
  <si>
    <t xml:space="preserve">Note</t>
  </si>
  <si>
    <t xml:space="preserve">After web check</t>
  </si>
  <si>
    <t xml:space="preserve">EX</t>
  </si>
  <si>
    <t xml:space="preserve">(example) A. Researcher</t>
  </si>
  <si>
    <t xml:space="preserve">Pharmacology &amp; Chemical Biology (SOM)</t>
  </si>
  <si>
    <t xml:space="preserve">PhD</t>
  </si>
  <si>
    <t xml:space="preserve">(example)</t>
  </si>
  <si>
    <t xml:space="preserve">W</t>
  </si>
  <si>
    <t xml:space="preserve">Most titles are mouse and cell-line experiments</t>
  </si>
  <si>
    <t xml:space="preserve">H001</t>
  </si>
  <si>
    <t xml:space="preserve">Beau Bruce</t>
  </si>
  <si>
    <t xml:space="preserve">Ophthalmology (SOM)
Cancer Prevention &amp; Control (Winship)</t>
  </si>
  <si>
    <t xml:space="preserve">MD; PhD; MS; BS</t>
  </si>
  <si>
    <t xml:space="preserve">H002</t>
  </si>
  <si>
    <t xml:space="preserve">Kelly Bijanki</t>
  </si>
  <si>
    <t xml:space="preserve">Neurosurgery (SOM)</t>
  </si>
  <si>
    <t xml:space="preserve">PhD; BA</t>
  </si>
  <si>
    <t xml:space="preserve">H003</t>
  </si>
  <si>
    <t xml:space="preserve">Deborah Andresen</t>
  </si>
  <si>
    <t xml:space="preserve">Pediatrics (SOM)</t>
  </si>
  <si>
    <t xml:space="preserve">MD</t>
  </si>
  <si>
    <t xml:space="preserve">H004</t>
  </si>
  <si>
    <t xml:space="preserve">John Sweeney</t>
  </si>
  <si>
    <t xml:space="preserve">Surgery (SOM)</t>
  </si>
  <si>
    <t xml:space="preserve">H005</t>
  </si>
  <si>
    <t xml:space="preserve">Lucas Felipe Bastos Horta</t>
  </si>
  <si>
    <t xml:space="preserve">Office of Medical Education &amp; Student Affairs (SOM)</t>
  </si>
  <si>
    <t xml:space="preserve">H006</t>
  </si>
  <si>
    <t xml:space="preserve">Bryce Rushing</t>
  </si>
  <si>
    <t xml:space="preserve">Medicine (SOM)</t>
  </si>
  <si>
    <t xml:space="preserve">H007</t>
  </si>
  <si>
    <t xml:space="preserve">Paul Ghareeb</t>
  </si>
  <si>
    <t xml:space="preserve">H008</t>
  </si>
  <si>
    <t xml:space="preserve">Joshua Vova</t>
  </si>
  <si>
    <t xml:space="preserve">Pediatrics (SOM)
REACH Center (CHOA)
PTC (CHOA)</t>
  </si>
  <si>
    <t xml:space="preserve">H009</t>
  </si>
  <si>
    <t xml:space="preserve">Reneeta Basu</t>
  </si>
  <si>
    <t xml:space="preserve">Family &amp; Preventive Med. (SOM)</t>
  </si>
  <si>
    <t xml:space="preserve">DO</t>
  </si>
  <si>
    <t xml:space="preserve">H010</t>
  </si>
  <si>
    <t xml:space="preserve">Stephanie Davis</t>
  </si>
  <si>
    <t xml:space="preserve">Psychiatry (SOM)</t>
  </si>
  <si>
    <t xml:space="preserve">PsyD; MS</t>
  </si>
  <si>
    <t xml:space="preserve">H011</t>
  </si>
  <si>
    <t xml:space="preserve">Cheryl Maier</t>
  </si>
  <si>
    <t xml:space="preserve">Pathology &amp; Lab Medicine (SOM)</t>
  </si>
  <si>
    <t xml:space="preserve">MD; PhD</t>
  </si>
  <si>
    <t xml:space="preserve">H012</t>
  </si>
  <si>
    <t xml:space="preserve">Amanda Romeu</t>
  </si>
  <si>
    <t xml:space="preserve">H013</t>
  </si>
  <si>
    <t xml:space="preserve">Joshy Jacob</t>
  </si>
  <si>
    <t xml:space="preserve">Microbiology &amp; Immunology (SOM)
Emory Vaccine Center (Vaccine)
Emory Center for AIDS Research (Vaccine) …</t>
  </si>
  <si>
    <t xml:space="preserve">PhD; BS</t>
  </si>
  <si>
    <t xml:space="preserve">H014</t>
  </si>
  <si>
    <t xml:space="preserve">Kim Hoang</t>
  </si>
  <si>
    <t xml:space="preserve">H015</t>
  </si>
  <si>
    <t xml:space="preserve">Elizabeth Draganova</t>
  </si>
  <si>
    <t xml:space="preserve">Biochemistry (SOM)</t>
  </si>
  <si>
    <t xml:space="preserve">H016</t>
  </si>
  <si>
    <t xml:space="preserve">Michelle Kegler</t>
  </si>
  <si>
    <t xml:space="preserve">Cancer Prevention &amp; Control (Winship)
Behavioral, Social, &amp; Health Education Scien… (RSPH)
Environmental Health (RSPH) …</t>
  </si>
  <si>
    <t xml:space="preserve">BA; MD; MPH; PhD</t>
  </si>
  <si>
    <t xml:space="preserve">H017</t>
  </si>
  <si>
    <t xml:space="preserve">John Blevins</t>
  </si>
  <si>
    <t xml:space="preserve">Environmental Health (RSPH)
Global Health (RSPH)</t>
  </si>
  <si>
    <t xml:space="preserve">PhD; MPH</t>
  </si>
  <si>
    <t xml:space="preserve">H018</t>
  </si>
  <si>
    <t xml:space="preserve">Hassan Monfared</t>
  </si>
  <si>
    <t xml:space="preserve">Rehabilitation Medicine (SOM)</t>
  </si>
  <si>
    <t xml:space="preserve">H019</t>
  </si>
  <si>
    <t xml:space="preserve">Phillip Zhe Sun</t>
  </si>
  <si>
    <t xml:space="preserve">Discovery &amp; Developmental Therapeutics (Winship)
Neuropharmacology (EPC)</t>
  </si>
  <si>
    <t xml:space="preserve">H020</t>
  </si>
  <si>
    <t xml:space="preserve">Joseph Bishop</t>
  </si>
  <si>
    <t xml:space="preserve">H021</t>
  </si>
  <si>
    <t xml:space="preserve">Nicole Carlson</t>
  </si>
  <si>
    <t xml:space="preserve">General faculty (Nursing)</t>
  </si>
  <si>
    <t xml:space="preserve">PhD, CNM, FACNM, FAAN</t>
  </si>
  <si>
    <t xml:space="preserve">H022</t>
  </si>
  <si>
    <t xml:space="preserve">Lindsay Kibuyaga</t>
  </si>
  <si>
    <t xml:space="preserve">MD; MPH; BA</t>
  </si>
  <si>
    <t xml:space="preserve">H023</t>
  </si>
  <si>
    <t xml:space="preserve">Teresa B. Ades</t>
  </si>
  <si>
    <t xml:space="preserve">DNP, FNP-BC, AOCN</t>
  </si>
  <si>
    <t xml:space="preserve">H024</t>
  </si>
  <si>
    <t xml:space="preserve">Michelle Sheng</t>
  </si>
  <si>
    <t xml:space="preserve">Urology (SOM)</t>
  </si>
  <si>
    <t xml:space="preserve">H025</t>
  </si>
  <si>
    <t xml:space="preserve">Yih-Ling Tzeng</t>
  </si>
  <si>
    <t xml:space="preserve">H026</t>
  </si>
  <si>
    <t xml:space="preserve">Jidong Guo</t>
  </si>
  <si>
    <t xml:space="preserve">H027</t>
  </si>
  <si>
    <t xml:space="preserve">Cinnamon Sullivan</t>
  </si>
  <si>
    <t xml:space="preserve">Anesthesiology (SOM)</t>
  </si>
  <si>
    <t xml:space="preserve">MD; BA</t>
  </si>
  <si>
    <t xml:space="preserve">H028</t>
  </si>
  <si>
    <t xml:space="preserve">James Thornton</t>
  </si>
  <si>
    <t xml:space="preserve">MMSc; CAA</t>
  </si>
  <si>
    <t xml:space="preserve">H029</t>
  </si>
  <si>
    <t xml:space="preserve">Abayomi Oyenuga</t>
  </si>
  <si>
    <t xml:space="preserve">H030</t>
  </si>
  <si>
    <t xml:space="preserve">Shruti Bhatt</t>
  </si>
  <si>
    <t xml:space="preserve">Discovery &amp; Developmental Therapeutics (Winship)</t>
  </si>
  <si>
    <t xml:space="preserve">H031</t>
  </si>
  <si>
    <t xml:space="preserve">Andrew Furman</t>
  </si>
  <si>
    <t xml:space="preserve">H032</t>
  </si>
  <si>
    <t xml:space="preserve">Sonya Green</t>
  </si>
  <si>
    <t xml:space="preserve">PA-C</t>
  </si>
  <si>
    <t xml:space="preserve">H033</t>
  </si>
  <si>
    <t xml:space="preserve">Thomas Dodson</t>
  </si>
  <si>
    <t xml:space="preserve">H034</t>
  </si>
  <si>
    <t xml:space="preserve">Kindell Schoffner</t>
  </si>
  <si>
    <t xml:space="preserve">PsyD</t>
  </si>
  <si>
    <t xml:space="preserve">H035</t>
  </si>
  <si>
    <t xml:space="preserve">Sarah Koumtouzoua</t>
  </si>
  <si>
    <t xml:space="preserve">MD; BS</t>
  </si>
  <si>
    <t xml:space="preserve">H036</t>
  </si>
  <si>
    <t xml:space="preserve">Enoch Leung</t>
  </si>
  <si>
    <t xml:space="preserve">H037</t>
  </si>
  <si>
    <t xml:space="preserve">Geetha Jagannathan</t>
  </si>
  <si>
    <t xml:space="preserve">MBBS</t>
  </si>
  <si>
    <t xml:space="preserve">H038</t>
  </si>
  <si>
    <t xml:space="preserve">Lauren Hudak</t>
  </si>
  <si>
    <t xml:space="preserve">Emergency Medicine (SOM)</t>
  </si>
  <si>
    <t xml:space="preserve">MD; MPH; BS</t>
  </si>
  <si>
    <t xml:space="preserve">H039</t>
  </si>
  <si>
    <t xml:space="preserve">Benjamin Lee</t>
  </si>
  <si>
    <t xml:space="preserve">SOMPI (SOM)</t>
  </si>
  <si>
    <t xml:space="preserve">H040</t>
  </si>
  <si>
    <t xml:space="preserve">Franck Amblard</t>
  </si>
  <si>
    <t xml:space="preserve">Pediatrics (SOM)
CVC (CHOA)</t>
  </si>
  <si>
    <t xml:space="preserve">PhD; MSc</t>
  </si>
  <si>
    <t xml:space="preserve">H041</t>
  </si>
  <si>
    <t xml:space="preserve">Lalita Movva</t>
  </si>
  <si>
    <t xml:space="preserve">H042</t>
  </si>
  <si>
    <t xml:space="preserve">Matthew Lilien</t>
  </si>
  <si>
    <t xml:space="preserve">H043</t>
  </si>
  <si>
    <t xml:space="preserve">Soumitri Sil</t>
  </si>
  <si>
    <t xml:space="preserve">Pediatrics (SOM)
Aflac (CHOA)
REACH Center (CHOA)</t>
  </si>
  <si>
    <t xml:space="preserve">PhD; MA; BA; ABPP</t>
  </si>
  <si>
    <t xml:space="preserve">H044</t>
  </si>
  <si>
    <t xml:space="preserve">Michelle Lampl</t>
  </si>
  <si>
    <t xml:space="preserve">Human Health (ECAS)</t>
  </si>
  <si>
    <t xml:space="preserve">MD, PhD</t>
  </si>
  <si>
    <t xml:space="preserve">H045</t>
  </si>
  <si>
    <t xml:space="preserve">Harry Baddour Jr</t>
  </si>
  <si>
    <t xml:space="preserve">Otolaryngology (SOM)</t>
  </si>
  <si>
    <t xml:space="preserve">H046</t>
  </si>
  <si>
    <t xml:space="preserve">Jae Won Chang</t>
  </si>
  <si>
    <t xml:space="preserve">Pharmacology &amp; Chemical Biology (SOM)
Discovery &amp; Developmental Therapeutics (Winship)</t>
  </si>
  <si>
    <t xml:space="preserve">H047</t>
  </si>
  <si>
    <t xml:space="preserve">Melat Gebre</t>
  </si>
  <si>
    <t xml:space="preserve">H048</t>
  </si>
  <si>
    <t xml:space="preserve">Rafael Medina Silva</t>
  </si>
  <si>
    <t xml:space="preserve">H049</t>
  </si>
  <si>
    <t xml:space="preserve">Dawn Manning-Williams</t>
  </si>
  <si>
    <t xml:space="preserve">H050</t>
  </si>
  <si>
    <t xml:space="preserve">Limin Peng</t>
  </si>
  <si>
    <t xml:space="preserve">CF-AIR (CHOA)
Cancer Prevention &amp; Control (Winship)
Biostatistics &amp; Bioinformatics (RSPH) …</t>
  </si>
  <si>
    <t xml:space="preserve">H051</t>
  </si>
  <si>
    <t xml:space="preserve">Sandhya Rajagopal</t>
  </si>
  <si>
    <t xml:space="preserve">H052</t>
  </si>
  <si>
    <t xml:space="preserve">Matthew Gary</t>
  </si>
  <si>
    <t xml:space="preserve">H053</t>
  </si>
  <si>
    <t xml:space="preserve">James Morgan</t>
  </si>
  <si>
    <t xml:space="preserve">H054</t>
  </si>
  <si>
    <t xml:space="preserve">Octav Cristea</t>
  </si>
  <si>
    <t xml:space="preserve">H055</t>
  </si>
  <si>
    <t xml:space="preserve">Amita Shroff</t>
  </si>
  <si>
    <t xml:space="preserve">H056</t>
  </si>
  <si>
    <t xml:space="preserve">Josephine Finazzo</t>
  </si>
  <si>
    <t xml:space="preserve">Radiology &amp; Imaging (SOM)</t>
  </si>
  <si>
    <t xml:space="preserve">H057</t>
  </si>
  <si>
    <t xml:space="preserve">Lauren Millett</t>
  </si>
  <si>
    <t xml:space="preserve">Gynecology &amp; Obstetrics (SOM)</t>
  </si>
  <si>
    <t xml:space="preserve">H058</t>
  </si>
  <si>
    <t xml:space="preserve">Hananeh Fonoudi</t>
  </si>
  <si>
    <t xml:space="preserve">Pediatrics (SOM)
HeRO (CHOA)
Cell &amp; Molecular Biology (Winship)</t>
  </si>
  <si>
    <t xml:space="preserve">Ph.D.</t>
  </si>
  <si>
    <t xml:space="preserve">H059</t>
  </si>
  <si>
    <t xml:space="preserve">Paul Forfia</t>
  </si>
  <si>
    <t xml:space="preserve">H060</t>
  </si>
  <si>
    <t xml:space="preserve">Patricia Vega-Fernandez</t>
  </si>
  <si>
    <t xml:space="preserve">CIAG (CHOA)</t>
  </si>
  <si>
    <t xml:space="preserve">H061</t>
  </si>
  <si>
    <t xml:space="preserve">Adam Gracz</t>
  </si>
  <si>
    <t xml:space="preserve">Human Genetics (SOM)
GENI (CHOA)
Cell &amp; Molecular Biology (Winship)</t>
  </si>
  <si>
    <t xml:space="preserve">PhD; MS; BA</t>
  </si>
  <si>
    <t xml:space="preserve">H062</t>
  </si>
  <si>
    <t xml:space="preserve">Mary Carlton</t>
  </si>
  <si>
    <t xml:space="preserve">Ophthalmology (SOM)</t>
  </si>
  <si>
    <t xml:space="preserve">BS</t>
  </si>
  <si>
    <t xml:space="preserve">H063</t>
  </si>
  <si>
    <t xml:space="preserve">Chrissy Lopez</t>
  </si>
  <si>
    <t xml:space="preserve">H064</t>
  </si>
  <si>
    <t xml:space="preserve">George R. Beck Jr.</t>
  </si>
  <si>
    <t xml:space="preserve">Medicine (SOM)
CF-AIR (CHOA)
PTC (CHOA) …</t>
  </si>
  <si>
    <t xml:space="preserve">H065</t>
  </si>
  <si>
    <t xml:space="preserve">Katherine Sorrentino</t>
  </si>
  <si>
    <t xml:space="preserve">H066</t>
  </si>
  <si>
    <t xml:space="preserve">Robert Bonsall</t>
  </si>
  <si>
    <t xml:space="preserve">H067</t>
  </si>
  <si>
    <t xml:space="preserve">Ravi Mangal Patel</t>
  </si>
  <si>
    <t xml:space="preserve">SOMPI (SOM)
CCTR (CHOA)</t>
  </si>
  <si>
    <t xml:space="preserve">MD; MSc; BS</t>
  </si>
  <si>
    <t xml:space="preserve">H068</t>
  </si>
  <si>
    <t xml:space="preserve">Debra Houry</t>
  </si>
  <si>
    <t xml:space="preserve">Emergency Medicine (SOM)
Health Policy &amp; Management (RSPH)
Environmental Health (RSPH) …</t>
  </si>
  <si>
    <t xml:space="preserve">H069</t>
  </si>
  <si>
    <t xml:space="preserve">Anand Joshi</t>
  </si>
  <si>
    <t xml:space="preserve">Orthopaedics (SOM)</t>
  </si>
  <si>
    <t xml:space="preserve">H070</t>
  </si>
  <si>
    <t xml:space="preserve">Bethany Ketchen</t>
  </si>
  <si>
    <t xml:space="preserve">H071</t>
  </si>
  <si>
    <t xml:space="preserve">Bhagyashri Navalkele</t>
  </si>
  <si>
    <t xml:space="preserve">H072</t>
  </si>
  <si>
    <t xml:space="preserve">Glaivy Batsuli</t>
  </si>
  <si>
    <t xml:space="preserve">H073</t>
  </si>
  <si>
    <t xml:space="preserve">Richard Danilkowicz</t>
  </si>
  <si>
    <t xml:space="preserve">H074</t>
  </si>
  <si>
    <t xml:space="preserve">Donna Brogan</t>
  </si>
  <si>
    <t xml:space="preserve">Biostatistics &amp; Bioinformatics (RSPH)
Environmental Health (RSPH)
Global Health (RSPH)</t>
  </si>
  <si>
    <t xml:space="preserve">H075</t>
  </si>
  <si>
    <t xml:space="preserve">Brittany Lewis</t>
  </si>
  <si>
    <t xml:space="preserve">MD; FNP</t>
  </si>
  <si>
    <t xml:space="preserve">H076</t>
  </si>
  <si>
    <t xml:space="preserve">Bryan Christensen</t>
  </si>
  <si>
    <t xml:space="preserve">H077</t>
  </si>
  <si>
    <t xml:space="preserve">Mahlon DeLong</t>
  </si>
  <si>
    <t xml:space="preserve">Neurology (SOM)</t>
  </si>
  <si>
    <t xml:space="preserve">H078</t>
  </si>
  <si>
    <t xml:space="preserve">Rakesh Shiradkar</t>
  </si>
  <si>
    <t xml:space="preserve">Biomedical Engineering (SOM)</t>
  </si>
  <si>
    <t xml:space="preserve">H079</t>
  </si>
  <si>
    <t xml:space="preserve">Jiaying Lu</t>
  </si>
  <si>
    <t xml:space="preserve">H080</t>
  </si>
  <si>
    <t xml:space="preserve">Kevin Bonney</t>
  </si>
  <si>
    <t xml:space="preserve">Hematology / Oncology (SOM)</t>
  </si>
  <si>
    <t xml:space="preserve">H081</t>
  </si>
  <si>
    <t xml:space="preserve">Amy Tang</t>
  </si>
  <si>
    <t xml:space="preserve">Pediatrics (SOM)
Aflac (CHOA)</t>
  </si>
  <si>
    <t xml:space="preserve">H082</t>
  </si>
  <si>
    <t xml:space="preserve">Kiran Hebbar</t>
  </si>
  <si>
    <t xml:space="preserve">H083</t>
  </si>
  <si>
    <t xml:space="preserve">Taylor Harrison</t>
  </si>
  <si>
    <t xml:space="preserve">H084</t>
  </si>
  <si>
    <t xml:space="preserve">Rein Saral</t>
  </si>
  <si>
    <t xml:space="preserve">H085</t>
  </si>
  <si>
    <t xml:space="preserve">Ruth Parker</t>
  </si>
  <si>
    <t xml:space="preserve">Medicine (SOM)
Epidemiology (RSPH)
Environmental Health (RSPH) …</t>
  </si>
  <si>
    <t xml:space="preserve">MSc; MB; BS; BSc</t>
  </si>
  <si>
    <t xml:space="preserve">H086</t>
  </si>
  <si>
    <t xml:space="preserve">Laura Miller</t>
  </si>
  <si>
    <t xml:space="preserve">DO; DPT; PharmD; RN</t>
  </si>
  <si>
    <t xml:space="preserve">H087</t>
  </si>
  <si>
    <t xml:space="preserve">Mark Burton</t>
  </si>
  <si>
    <t xml:space="preserve">H088</t>
  </si>
  <si>
    <t xml:space="preserve">Lauren Esposito</t>
  </si>
  <si>
    <t xml:space="preserve">H089</t>
  </si>
  <si>
    <t xml:space="preserve">Michael Balk</t>
  </si>
  <si>
    <t xml:space="preserve">H090</t>
  </si>
  <si>
    <t xml:space="preserve">Shiyong Li</t>
  </si>
  <si>
    <t xml:space="preserve">Pathology &amp; Lab Medicine (SOM)
Discovery &amp; Developmental Therapeutics (Winship)</t>
  </si>
  <si>
    <t xml:space="preserve">MD; PhD; MS</t>
  </si>
  <si>
    <t xml:space="preserve">H091</t>
  </si>
  <si>
    <t xml:space="preserve">Carla Ammons</t>
  </si>
  <si>
    <t xml:space="preserve">CCNR (CHOA)</t>
  </si>
  <si>
    <t xml:space="preserve">H092</t>
  </si>
  <si>
    <t xml:space="preserve">Thomas Wingo</t>
  </si>
  <si>
    <t xml:space="preserve">Human Genetics (SOM)</t>
  </si>
  <si>
    <t xml:space="preserve">H093</t>
  </si>
  <si>
    <t xml:space="preserve">Philip Rather</t>
  </si>
  <si>
    <t xml:space="preserve">Microbiology &amp; Immunology (SOM)</t>
  </si>
  <si>
    <t xml:space="preserve">H094</t>
  </si>
  <si>
    <t xml:space="preserve">Sean Mooney</t>
  </si>
  <si>
    <t xml:space="preserve">H095</t>
  </si>
  <si>
    <t xml:space="preserve">John Pearce</t>
  </si>
  <si>
    <t xml:space="preserve">H096</t>
  </si>
  <si>
    <t xml:space="preserve">Lindsay J. Collin</t>
  </si>
  <si>
    <t xml:space="preserve">Cancer Prevention &amp; Control (Winship)
Epidemiology (RSPH)
Environmental Health (RSPH) …</t>
  </si>
  <si>
    <t xml:space="preserve">PhD, MPH</t>
  </si>
  <si>
    <t xml:space="preserve">H097</t>
  </si>
  <si>
    <t xml:space="preserve">Ashesh Jani</t>
  </si>
  <si>
    <t xml:space="preserve">Radiation Oncology (SOM)
Cancer Prevention &amp; Control (Winship)</t>
  </si>
  <si>
    <t xml:space="preserve">MD; MS; BS</t>
  </si>
  <si>
    <t xml:space="preserve">H098</t>
  </si>
  <si>
    <t xml:space="preserve">Emily Kiernan</t>
  </si>
  <si>
    <t xml:space="preserve">H099</t>
  </si>
  <si>
    <t xml:space="preserve">Bashar Staitieh</t>
  </si>
  <si>
    <t xml:space="preserve">H100</t>
  </si>
  <si>
    <t xml:space="preserve">Jay Shah</t>
  </si>
  <si>
    <t xml:space="preserve">H101</t>
  </si>
  <si>
    <t xml:space="preserve">Sreedhara Sangadala</t>
  </si>
  <si>
    <t xml:space="preserve">H102</t>
  </si>
  <si>
    <t xml:space="preserve">Lisa Smith</t>
  </si>
  <si>
    <t xml:space="preserve">MD; PharmD; FNP-C</t>
  </si>
  <si>
    <t xml:space="preserve">H103</t>
  </si>
  <si>
    <t xml:space="preserve">Randy Trumbower</t>
  </si>
  <si>
    <t xml:space="preserve">PhD; MS; BS</t>
  </si>
  <si>
    <t xml:space="preserve">H104</t>
  </si>
  <si>
    <t xml:space="preserve">Jennifer Murphy</t>
  </si>
  <si>
    <t xml:space="preserve">H105</t>
  </si>
  <si>
    <t xml:space="preserve">Shabtab Khan</t>
  </si>
  <si>
    <t xml:space="preserve">H106</t>
  </si>
  <si>
    <t xml:space="preserve">Laura Blackwell</t>
  </si>
  <si>
    <t xml:space="preserve">CCTR (CHOA)
CCNR (CHOA)</t>
  </si>
  <si>
    <t xml:space="preserve">PhD, ABPP-CN</t>
  </si>
  <si>
    <t xml:space="preserve">H107</t>
  </si>
  <si>
    <t xml:space="preserve">Betsy Gard</t>
  </si>
  <si>
    <t xml:space="preserve">H108</t>
  </si>
  <si>
    <t xml:space="preserve">Samuel Dotson</t>
  </si>
  <si>
    <t xml:space="preserve">H109</t>
  </si>
  <si>
    <t xml:space="preserve">Stephen Miller</t>
  </si>
  <si>
    <t xml:space="preserve">Medicine (SOM)
Pediatrics (SOM)</t>
  </si>
  <si>
    <t xml:space="preserve">H110</t>
  </si>
  <si>
    <t xml:space="preserve">Katia Koelle</t>
  </si>
  <si>
    <t xml:space="preserve">Biology (ECAS)</t>
  </si>
  <si>
    <t xml:space="preserve">H111</t>
  </si>
  <si>
    <t xml:space="preserve">Joanne Allam</t>
  </si>
  <si>
    <t xml:space="preserve">H112</t>
  </si>
  <si>
    <t xml:space="preserve">Sumathi Srivatsa</t>
  </si>
  <si>
    <t xml:space="preserve">MD; MBBS</t>
  </si>
  <si>
    <t xml:space="preserve">H113</t>
  </si>
  <si>
    <t xml:space="preserve">Edmund Becker</t>
  </si>
  <si>
    <t xml:space="preserve">Health Policy &amp; Management (RSPH)
Environmental Health (RSPH)
Global Health (RSPH)</t>
  </si>
  <si>
    <t xml:space="preserve">MD; MPH</t>
  </si>
  <si>
    <t xml:space="preserve">H114</t>
  </si>
  <si>
    <t xml:space="preserve">Laila Woc-Colburn</t>
  </si>
  <si>
    <t xml:space="preserve">H115</t>
  </si>
  <si>
    <t xml:space="preserve">Ghulam Ilyas</t>
  </si>
  <si>
    <t xml:space="preserve">H116</t>
  </si>
  <si>
    <t xml:space="preserve">Amir Rezvan</t>
  </si>
  <si>
    <t xml:space="preserve">MD; MS</t>
  </si>
  <si>
    <t xml:space="preserve">H117</t>
  </si>
  <si>
    <t xml:space="preserve">Laura Gardner</t>
  </si>
  <si>
    <t xml:space="preserve">Dermatology (SOM)</t>
  </si>
  <si>
    <t xml:space="preserve">H118</t>
  </si>
  <si>
    <t xml:space="preserve">Gregory Noland</t>
  </si>
  <si>
    <t xml:space="preserve">MPH; PhD</t>
  </si>
  <si>
    <t xml:space="preserve">H119</t>
  </si>
  <si>
    <t xml:space="preserve">Brendan Jackson</t>
  </si>
  <si>
    <t xml:space="preserve">H120</t>
  </si>
  <si>
    <t xml:space="preserve">Prashant Raghavendran</t>
  </si>
  <si>
    <t xml:space="preserve">H121</t>
  </si>
  <si>
    <t xml:space="preserve">Fahim Atif</t>
  </si>
  <si>
    <t xml:space="preserve">H122</t>
  </si>
  <si>
    <t xml:space="preserve">Carmen Marsit</t>
  </si>
  <si>
    <t xml:space="preserve">BS; Ph.D.</t>
  </si>
  <si>
    <t xml:space="preserve">H123</t>
  </si>
  <si>
    <t xml:space="preserve">Sajani Patel</t>
  </si>
  <si>
    <t xml:space="preserve">H124</t>
  </si>
  <si>
    <t xml:space="preserve">Jacqueline C. Lee</t>
  </si>
  <si>
    <t xml:space="preserve">Gynecology &amp; Obstetrics (SOM)
Cancer Prevention &amp; Control (Winship)</t>
  </si>
  <si>
    <t xml:space="preserve">H125</t>
  </si>
  <si>
    <t xml:space="preserve">Suzana John</t>
  </si>
  <si>
    <t xml:space="preserve">H126</t>
  </si>
  <si>
    <t xml:space="preserve">Noreen Khan</t>
  </si>
  <si>
    <t xml:space="preserve">Hematology / Oncology (SOM)
Discovery &amp; Developmental Therapeutics (Winship)</t>
  </si>
  <si>
    <t xml:space="preserve">H127</t>
  </si>
  <si>
    <t xml:space="preserve">Jonathan Rupp</t>
  </si>
  <si>
    <t xml:space="preserve">Emergency Medicine (SOM)
Environmental Health (RSPH)
Global Health (RSPH)</t>
  </si>
  <si>
    <t xml:space="preserve">BA; MS; PhD</t>
  </si>
  <si>
    <t xml:space="preserve">H128</t>
  </si>
  <si>
    <t xml:space="preserve">Nanda Kishore Routhu</t>
  </si>
  <si>
    <t xml:space="preserve">PhD; MS</t>
  </si>
  <si>
    <t xml:space="preserve">H129</t>
  </si>
  <si>
    <t xml:space="preserve">Neo Gebru</t>
  </si>
  <si>
    <t xml:space="preserve">H130</t>
  </si>
  <si>
    <t xml:space="preserve">Kera McNelis</t>
  </si>
  <si>
    <t xml:space="preserve">SOMPI (SOM)
CCTR (CHOA)
GENI (CHOA)</t>
  </si>
  <si>
    <t xml:space="preserve">MD, MS</t>
  </si>
  <si>
    <t xml:space="preserve">H131</t>
  </si>
  <si>
    <t xml:space="preserve">James Bailey</t>
  </si>
  <si>
    <t xml:space="preserve">H132</t>
  </si>
  <si>
    <t xml:space="preserve">Brian Vickery</t>
  </si>
  <si>
    <t xml:space="preserve">Pediatrics (SOM)
CF-AIR (CHOA)
CCTR (CHOA) …</t>
  </si>
  <si>
    <t xml:space="preserve">MD; CRNA</t>
  </si>
  <si>
    <t xml:space="preserve">H133</t>
  </si>
  <si>
    <t xml:space="preserve">Kristina Angelo</t>
  </si>
  <si>
    <t xml:space="preserve">H134</t>
  </si>
  <si>
    <t xml:space="preserve">Jill Wells</t>
  </si>
  <si>
    <t xml:space="preserve">H135</t>
  </si>
  <si>
    <t xml:space="preserve">Rebecca Filipowicz</t>
  </si>
  <si>
    <t xml:space="preserve">Environmental Health (RSPH)
Global Health (RSPH)
Executive MPH (RSPH)</t>
  </si>
  <si>
    <t xml:space="preserve">H136</t>
  </si>
  <si>
    <t xml:space="preserve">Ajay Kasi</t>
  </si>
  <si>
    <t xml:space="preserve">Pediatrics (SOM)
CF-AIR (CHOA)</t>
  </si>
  <si>
    <t xml:space="preserve">H137</t>
  </si>
  <si>
    <t xml:space="preserve">Virginia Shaffer</t>
  </si>
  <si>
    <t xml:space="preserve">H138</t>
  </si>
  <si>
    <t xml:space="preserve">Stephen Lauer</t>
  </si>
  <si>
    <t xml:space="preserve">H139</t>
  </si>
  <si>
    <t xml:space="preserve">Andrew Sherrill</t>
  </si>
  <si>
    <t xml:space="preserve">PhD; BS; BA</t>
  </si>
  <si>
    <t xml:space="preserve">H140</t>
  </si>
  <si>
    <t xml:space="preserve">Helaina Jaffe</t>
  </si>
  <si>
    <t xml:space="preserve">H141</t>
  </si>
  <si>
    <t xml:space="preserve">Tamara Arnautovic</t>
  </si>
  <si>
    <t xml:space="preserve">H142</t>
  </si>
  <si>
    <t xml:space="preserve">Stephanie Tran</t>
  </si>
  <si>
    <t xml:space="preserve">H143</t>
  </si>
  <si>
    <t xml:space="preserve">Elliot Bishop</t>
  </si>
  <si>
    <t xml:space="preserve">H144</t>
  </si>
  <si>
    <t xml:space="preserve">Aparna Kumar</t>
  </si>
  <si>
    <t xml:space="preserve">Ph.D., M.S.N., MPH and B.S.N</t>
  </si>
  <si>
    <t xml:space="preserve">H145</t>
  </si>
  <si>
    <t xml:space="preserve">Ingrid Bloom</t>
  </si>
  <si>
    <t xml:space="preserve">H146</t>
  </si>
  <si>
    <t xml:space="preserve">Forrest Powers</t>
  </si>
  <si>
    <t xml:space="preserve">H147</t>
  </si>
  <si>
    <t xml:space="preserve">Kelly Wiltse Nicely</t>
  </si>
  <si>
    <t xml:space="preserve">PhD, CRNA, FAANA, FAAN</t>
  </si>
  <si>
    <t xml:space="preserve">H148</t>
  </si>
  <si>
    <t xml:space="preserve">Stephanie Hampton</t>
  </si>
  <si>
    <t xml:space="preserve">H149</t>
  </si>
  <si>
    <t xml:space="preserve">Lanny Liebeskind</t>
  </si>
  <si>
    <t xml:space="preserve">H150</t>
  </si>
  <si>
    <t xml:space="preserve">Sunita Park</t>
  </si>
  <si>
    <t xml:space="preserve">Pathology &amp; Lab Medicine (SOM)
Aflac (CHOA)</t>
  </si>
  <si>
    <t xml:space="preserve">Beau Bruce   ·   MD; PhD; MS; BS</t>
  </si>
  <si>
    <t xml:space="preserve">Email</t>
  </si>
  <si>
    <t xml:space="preserve">bbbruce@emory.edu</t>
  </si>
  <si>
    <t xml:space="preserve">Profile page</t>
  </si>
  <si>
    <t xml:space="preserve">https://winshipcancer.emory.edu/profiles/bruce-beau.php</t>
  </si>
  <si>
    <t xml:space="preserve">Profile text</t>
  </si>
  <si>
    <t xml:space="preserve">Beau B. Bruce, MD, PhD, is an assistant professor in the Department of Ophthalmology at Emory University School of Medicine and Assistant Professor of Epidemiology at Rollins School of Public Health. Dr. Bruce is currently an analytics specialist in the Enteric Diseases Epidemiology Branch at Centers for Disease Control and Prevention. Dr. Bruce received his medical degree from Emory University School of Medicine and his PhD in Epidemiology from Rollins School of Public Health at Emory University. Assistant Professor, Department of Ophthalmology Rollins School of Public Health, Emory University</t>
  </si>
  <si>
    <t xml:space="preserve">Grant titles</t>
  </si>
  <si>
    <t xml:space="preserve">(none on the record)</t>
  </si>
  <si>
    <t xml:space="preserve">Titles (25)</t>
  </si>
  <si>
    <t xml:space="preserve">2026   Enhanced Bayesian Spline Regression Approach for Modelling Trends in Infections Caused by Pathogens Commonly Transmitted Through Food.</t>
  </si>
  <si>
    <t xml:space="preserve">2026   A Case-Case Study of Sporadic and Outbreak-Associated Listeriosis Exposures: Listeria Initiative Food History Data, 2016-2022.</t>
  </si>
  <si>
    <t xml:space="preserve">2025   Nonarteritic Anterior Ischemic Optic Neuropathy in Black Patients</t>
  </si>
  <si>
    <t xml:space="preserve">2025   Factors Associated with Medical Care-Seeking and Stool Sample Submission for Diarrheal Illness, FoodNet, United States, 2018-2019</t>
  </si>
  <si>
    <t xml:space="preserve">2025   Emergency Department Nonmydriatic Fundus Photography Expedites Care for Patients Referred for Papilledema</t>
  </si>
  <si>
    <t xml:space="preserve">2025   GLP-1 RAs for Idiopathic Intracranial Hypertension-Time for a Trial</t>
  </si>
  <si>
    <t xml:space="preserve">2025   Factors associated with vision loss in idiopathic intracranial hypertension patients with severe papilledema.</t>
  </si>
  <si>
    <t xml:space="preserve">2024   An Approach to Describe Salmonella Serotypes of Concern for Outbreaks: Using Burden and Trajectory of Outbreak-related Illnesses Associated with Meat and Poultry.</t>
  </si>
  <si>
    <t xml:space="preserve">2024   Machine learning to attribute the source of Campylobacter infections in the United States: A retrospective analysis of national surveillance data.</t>
  </si>
  <si>
    <t xml:space="preserve">2024   Application of a Deep Learning System to Detect Papilledema on Nonmydriatic Ocular Fundus Photographs in an Emergency Department.</t>
  </si>
  <si>
    <t xml:space="preserve">2024   Clinical Outcomes of Patients With Nontyphoidal Salmonella Infections by Isolate Resistance-Foodborne Diseases Active Surveillance Network, 10 US Sites, 2004-2018.</t>
  </si>
  <si>
    <t xml:space="preserve">2024   Syndromic Gastrointestinal Panel Diagnostic Tests Have Changed our Understanding of the Epidemiology of Yersiniosis-Foodborne Diseases Active Surveillance Network, 2010-2021.</t>
  </si>
  <si>
    <t xml:space="preserve">2024   Glaucoma as a cause of optic nerve abnormalities on magnetic resonance imaging.</t>
  </si>
  <si>
    <t xml:space="preserve">2024   Modelling counterfactual incidence during the transition towards culture-independent diagnostic testing.</t>
  </si>
  <si>
    <t xml:space="preserve">2024   A Prediction Tool to Identify the Causative Agent of Enteric Disease Outbreaks Using Outbreak Surveillance Data.</t>
  </si>
  <si>
    <t xml:space="preserve">2021   Significance of Incidental Signs of Raised Intracranial Pressure on Magnetic Resonance Imaging: A Prospective Study with Concurrent Fundus Photography (2035)</t>
  </si>
  <si>
    <t xml:space="preserve">2016   Non-mydriatic fundus photography: a practical review for the neurologist</t>
  </si>
  <si>
    <t xml:space="preserve">2015   What's Hot in Neuro-Ophthalmology</t>
  </si>
  <si>
    <t xml:space="preserve">2015   Update on the Diagnosis and Treatment of Idiopathic Intracranial Hypertension</t>
  </si>
  <si>
    <t xml:space="preserve">2015   Nonmydriatic Ocular Fundus Photography in the Emergency Department: How It Can Benefit Neurologists</t>
  </si>
  <si>
    <t xml:space="preserve">2014   Reply to “Enlarged CSF Spaces in Pseudotumor Cerebri”</t>
  </si>
  <si>
    <t xml:space="preserve">2014   Nonmydriatic Ocular Fundus Photography Among Patients with Focal Neurologic Deficits in an Emergency Department (ED) (P3.096)</t>
  </si>
  <si>
    <t xml:space="preserve">2013   Teaching Ophthalmoscopy to Medical Students (TOTeMS) (P04.250)</t>
  </si>
  <si>
    <t xml:space="preserve">2013   Non-Mydriatic Ocular Fundus Photography among Headache Patients in an Emergency Department (P03.111)</t>
  </si>
  <si>
    <t xml:space="preserve">Enhanced Bayesian Spline Regression Approach for Modelling Trends in Infections Caused by Pathogens Commonly Transmitted Through Food. (Zoonoses (Shannon, Ireland) + 2026)</t>
  </si>
  <si>
    <t xml:space="preserve">Kelly Bijanki   ·   PhD; BA</t>
  </si>
  <si>
    <t xml:space="preserve">kbijank@emory.edu</t>
  </si>
  <si>
    <t xml:space="preserve">(no profile text on the record)</t>
  </si>
  <si>
    <t xml:space="preserve">Titles (10)</t>
  </si>
  <si>
    <t xml:space="preserve">2025   Exploring individual differences in amygdala-mediated memory modulation.</t>
  </si>
  <si>
    <t xml:space="preserve">2021   In Reply: Case Series: Unilateral Amygdala Ablation Ameliorates Post-Traumatic Stress Disorder Symptoms and Biomarkers.</t>
  </si>
  <si>
    <t xml:space="preserve">2020   Case Series: Unilateral Amygdala Ablation Ameliorates Post-Traumatic Stress Disorder Symptoms and Biomarkers.</t>
  </si>
  <si>
    <t xml:space="preserve">2020   Human amygdala stimulation effects on emotion physiology and emotional experience.</t>
  </si>
  <si>
    <t xml:space="preserve">2019   Field potential 1/f activity in the subcallosal cingulate region as a candidate signal for monitoring deep brain stimulation for treatment-resistant depression.</t>
  </si>
  <si>
    <t xml:space="preserve">2019   Cingulum stimulation enhances positive affect and anxiolysis to facilitate awake craniotomy.</t>
  </si>
  <si>
    <t xml:space="preserve">2018   Explaining individual variation in paternal brain responses to infant cries.</t>
  </si>
  <si>
    <t xml:space="preserve">2018   Direct electrical stimulation of the amygdala enhances declarative memory in humans.</t>
  </si>
  <si>
    <t xml:space="preserve">2018   Test-retest reliability of a stimulation-locked evoked response to deep brain stimulation in subcallosal cingulate for treatment resistant depression.</t>
  </si>
  <si>
    <t xml:space="preserve">2015   Depressive symptoms related to low fractional anisotropy of white matter underlying the right ventral anterior cingulate in older adults with atherosclerotic vascular disease.</t>
  </si>
  <si>
    <t xml:space="preserve">Deborah Andresen   ·   MD</t>
  </si>
  <si>
    <t xml:space="preserve">dandres@emory.edu</t>
  </si>
  <si>
    <t xml:space="preserve">Titles (3)</t>
  </si>
  <si>
    <t xml:space="preserve">2017   Etiology and Laboratory Abnormalities in Bacterial Meningitis in Neonates and Young Infants.</t>
  </si>
  <si>
    <t xml:space="preserve">2014   Clinical and laboratory characteristics of central nervous system herpes simplex virus infection in neonates and young infants.</t>
  </si>
  <si>
    <t xml:space="preserve">2013   Evaluation and treatment of mastitis in infants.</t>
  </si>
  <si>
    <t xml:space="preserve">John Sweeney   ·   MD</t>
  </si>
  <si>
    <t xml:space="preserve">jfsween@emory.edu</t>
  </si>
  <si>
    <t xml:space="preserve">https://med.emory.edu/directory/profile/?u=JFSWEEN</t>
  </si>
  <si>
    <t xml:space="preserve">Before joining Emory as chief of the division of general and gastrointestinal surgery in September 2007, Dr. Sweeney directed the division of general surgery, the bariatric surgery program, and the Michael E. DeBakey Minimally Invasive Surgery Center of Excellence of the Michael E. DeBakey Department of Surgery, Baylor College of Medicine. Prior to that, he served as chief of surgery at the Ann Arbor VA Medical Center and director of minimally invasive surgery at the University of Michigan. Dr. Sweeney served as chief quality officer for the Emory Department of Surgery from 2008-2016, and helmed its participation in the American College of Surgeons (ACS) National Surgical Quality Improvement Program (NSQIP). He became interim chair of the Department of Surgery in 2013, and was appointed full Joseph Brown Whitehead Professor and Chair in January 2015. Dr. Sweeney has conducted collaborative quality studies with James C. Cox, PhD, director of the Experimental Economics Center of the Andrew Young School of Policy Studies at Georgia State University, that have focused on improving hospital length of stay and increasing physicians' effectiveness in identifying when to discharge a patient.</t>
  </si>
  <si>
    <t xml:space="preserve">Titles (0)</t>
  </si>
  <si>
    <t xml:space="preserve">(no publication titles on the record)</t>
  </si>
  <si>
    <t xml:space="preserve">Lucas Felipe Bastos Horta   ·   MD</t>
  </si>
  <si>
    <t xml:space="preserve">lfelipe@emory.edu</t>
  </si>
  <si>
    <t xml:space="preserve">https://med.emory.edu/directory/profile/?u=LFELIPE</t>
  </si>
  <si>
    <t xml:space="preserve">Lucas F. B. Horta, MD Neuroimmunologist Dr. Horta was born and raised in Brazil and earned his medical degree from the Universidade Federal do Rio de Janeiro. He moved to the United States to pursue postgraduate medical training in Boston, MA, where he completed his neurology residency at Boston Medical Center, serving as chief resident in his fourth year. He then completed a fellowship in General and Autoimmune Neurology (AGAIN) at Massachusetts General Hospital (MGH). Dr. Horta specializes in autoimmune neurological diseases affecting both the central and peripheral nervous systems, with a particular focus on Cerebral Amyloid Angiopathy-related inflammation (CAAri) and spinal cord pathologies. His clinical and research interests include the role of spinal cord involvement in autoimmune neurological conditions such as Multiple Sclerosis, Neurosarcoidosis, Neuromyelitis Optica Spectrum Disorder, and MOG-antibody-associated disease.</t>
  </si>
  <si>
    <t xml:space="preserve">Titles (2)</t>
  </si>
  <si>
    <t xml:space="preserve">2025   Rituximab in pathologically confirmed sarcoidosis affecting the central nervous system: a multi-center retrospective study.</t>
  </si>
  <si>
    <t xml:space="preserve">2025   A Multi-Center Retrospective Cohort Study of Neurosarcoidosis Myelitis: Current Observations and Future Directions.</t>
  </si>
  <si>
    <t xml:space="preserve">Bryce Rushing   ·   MD</t>
  </si>
  <si>
    <t xml:space="preserve">bjrushi@emory.edu</t>
  </si>
  <si>
    <t xml:space="preserve">Titles (1)</t>
  </si>
  <si>
    <t xml:space="preserve">2023   Vancomycin- and piperacillin-induced acute interstitial nephritis in a patient with lupus: A case report showcasing rapid decline in renal function.</t>
  </si>
  <si>
    <t xml:space="preserve">Paul Ghareeb   ·   MD</t>
  </si>
  <si>
    <t xml:space="preserve">pgharee@emory.edu</t>
  </si>
  <si>
    <t xml:space="preserve">https://www.emoryhealthcare.org/providers/paul-ghareeb-1597671</t>
  </si>
  <si>
    <t xml:space="preserve">Paul Ghareeb, MD, grew up in a small town in West Virginia. He graduated summa cum laude with a BS in Biology from West Virginia University and went on to complete medical school at West Virginia University School of Medicine. Dr. Ghareeb was a Junior elect of the AOA and served as chapter president during his final year of medical school. Upon completing medical school, Dr. Ghareeb completed a Plastic and Reconstructive Surgery residency at Emory University. He served as the Administrative Chief Resident during his last year of training and received the prestigious HOPE award in recognition of his professionalism in patient care. He then completed a fellowship in Hand and Microvascular Surgery within the Department of Orthopedics at the University of California Los Angeles. At UCLA, he combined orthopedic and plastic surgical techniques in the care of patients with hand and upper extremity conditions. Dr. Ghareeb is board certified with an additional subspecialty certificate in Surgery of the Hand by the American Board of Plastic Surgery. Dr. Ghareeb currently sees patients at the Emory Orthopaedics &amp; Spine Center clinic in Dunwoody as well as Emory Saint Joseph's Hospital. He also spends part of his time caring for veterans with hand disorders at the Atlanta VA Medical Center. His clinical interests include all aspects of hand and wrist surgery, including fracture care and traumatic injuries, nerve compression, Raynauds phenomenon and vascular disorders; Dupuytrens disease, tendonitis, rheumatoid arthritis and osteoarthritis. Dr. Ghareeb performs microsurgical reconstructive nerve and vascular procedures including vascularized bone grafting, as well as complex reconstructive surgery of the skin and soft tissues</t>
  </si>
  <si>
    <t xml:space="preserve">Titles (34)</t>
  </si>
  <si>
    <t xml:space="preserve">2026   Re-Evaluation of the Ideal Injury to Flap Time Frame for Lower Extremity Free Flap Reconstruction: Is 72 h Still the Gold Standard?</t>
  </si>
  <si>
    <t xml:space="preserve">2026   Plastic surgery workforce distribution: A national analysis.</t>
  </si>
  <si>
    <t xml:space="preserve">2026   Perilunate Dislocation Reduction Technique and Results.</t>
  </si>
  <si>
    <t xml:space="preserve">2026   Gaps in Nutrition and Exercise Counseling Preparedness among Plastic Surgery Trainees: A Nationwide Exploratory Survey Study.</t>
  </si>
  <si>
    <t xml:space="preserve">2026   Time to Amputation After Traumatic Digital Injury Does Not Affect Complication Rates: A Retrospective Multi-Institutional Analysis.</t>
  </si>
  <si>
    <t xml:space="preserve">2025   Perioperative Anticoagulation in Hand Surgery: A Systematic Review.</t>
  </si>
  <si>
    <t xml:space="preserve">2025   Medium-Term Patient-Reported Outcomes after Surgical Management of Perilunate Injury: A Multiinstitutional Experience.</t>
  </si>
  <si>
    <t xml:space="preserve">2025   How to Boost Research Productivity: An American Council of Educators in Plastic Surgery Cross-sectional Survey.</t>
  </si>
  <si>
    <t xml:space="preserve">2025   Early Initiation of Dangle Protocol in Lower Extremity Free Flap Microsurgery.</t>
  </si>
  <si>
    <t xml:space="preserve">2025   Discussion: Risk and Mortality of Cardiovascular Diseases in Patients with Dupuytren Disease: A Nationwide Population-Based Cohort Study.</t>
  </si>
  <si>
    <t xml:space="preserve">2025   Incidence and Risk Factors for Secondary Surgery and Amputation After Lower Extremity Limb Salvage.</t>
  </si>
  <si>
    <t xml:space="preserve">2025   Discussion: Frequency and Reporting of Complications after Dupuytren Contracture Interventions: A Systematic Review and Meta-Analysis.</t>
  </si>
  <si>
    <t xml:space="preserve">2025   Radial to Median Sensory Nerve Transfers to Restore Sensate Key Pinch: A Cadaveric Assessment of Size Match and Implications for Transfer.</t>
  </si>
  <si>
    <t xml:space="preserve">2025   A Multi-institutional Assessment of Causes, Reoperation Rates, and Mortality in Forearm Acute Compartment Syndrome.</t>
  </si>
  <si>
    <t xml:space="preserve">2025   Patient-reported Outcomes and the Use of Bone Grafting in Distal Radius Osteotomy for Malunion Correction: A Systematic Review</t>
  </si>
  <si>
    <t xml:space="preserve">2024   The Role of Nerve Tension on Nerve Repair Success.</t>
  </si>
  <si>
    <t xml:space="preserve">2024   Impact of Socioeconomic Factors on Time to Surgery for Distal Radius Fractures.</t>
  </si>
  <si>
    <t xml:space="preserve">2024   Radial Artery Reconstruction After Iatrogenic Cannulation-Related Occlusion: A Case Report.</t>
  </si>
  <si>
    <t xml:space="preserve">2024   A Perspective on Electrical Stimulation and Sympathetic Regeneration in Peripheral Nerve Injuries.</t>
  </si>
  <si>
    <t xml:space="preserve">2023   Unscheduled Healthcare Contact after Outpatient Surgical Fixation of Distal Radius Fractures: A Retrospective Cohort Study</t>
  </si>
  <si>
    <t xml:space="preserve">2023   Hand Anatomy</t>
  </si>
  <si>
    <t xml:space="preserve">2023   Safety and Efficacy of Liposomal Bupivacaine Supraclavicular Nerve Blocks in Open Treatment of Distal Radius Fractures: A Perioperative Pain Management Protocol.</t>
  </si>
  <si>
    <t xml:space="preserve">2022   Persistent Median Artery Thrombosis Causing a Bifid Median Nerve and Carpal Tunnel Syndrome: A Case Report.</t>
  </si>
  <si>
    <t xml:space="preserve">2021   Early Experience with External Negative Pressure Delay in Free Anterolateral Thigh Perforator Flap Reconstruction.</t>
  </si>
  <si>
    <t xml:space="preserve">2021   Pulp De-epithelialization for Venous Outflow Augmentation after Digital Replantation.</t>
  </si>
  <si>
    <t xml:space="preserve">2021   Biomechanical consequences of tibial tubercle osteotomy in a 3D-printed model of patellofemoral dysplasia (207)</t>
  </si>
  <si>
    <t xml:space="preserve">2018   Current Trends in the Management of Ballistic Fractures of the Hand and Wrist: Experiences of a High-Volume Level I Trauma Center</t>
  </si>
  <si>
    <t xml:space="preserve">2017   Safety and outcomes in rereduction mammaplasty: Single institution experience and review of the literature</t>
  </si>
  <si>
    <t xml:space="preserve">2017   Indocyanine Green Angiography: A Helpful Tool for Intraoperative Assessment of Upper Extremity Perfusion</t>
  </si>
  <si>
    <t xml:space="preserve">2015   Breast necrosis secondary to vasopressor extravasation: Management using indocyanine green angiography and omental flap closure</t>
  </si>
  <si>
    <t xml:space="preserve">2014   Prospective, randomized, single blinded pilot study of a new FlatWire based sternal closure system</t>
  </si>
  <si>
    <t xml:space="preserve">2014   Biomechanical analysis of the FlatWire Figure 8 sternal fixation device</t>
  </si>
  <si>
    <t xml:space="preserve">2013   Reducing pathogen transmission in a hospital setting. Handshake verses fist bump: A pilot study</t>
  </si>
  <si>
    <t xml:space="preserve">2012   Forehead reconstruction using a modified dual-plane A to T flap</t>
  </si>
  <si>
    <t xml:space="preserve">Joshua Vova   ·   MD</t>
  </si>
  <si>
    <t xml:space="preserve">jvova@emory.edu</t>
  </si>
  <si>
    <t xml:space="preserve">https://www.choa.org/doctors/joshua-a-vova</t>
  </si>
  <si>
    <t xml:space="preserve">Dr. Vova serves on multiple clinical and administrative committees at Children’s. He has also served as the residency director for the Emory Physical Medicine and Rehabilitation Residency and the fellowship director for the Pediatric Rehabilitation Medicine Fellowship. He continues to work with Emory University and Morehouse School of Medicine where he still assists as an adjunct professor. Dr. Vova’s research interests include spasticity management, anti-NMDA antibody receptor encephalitis and technology and robotics in rehabilitation. He has also presented at numerous conferences and has published textbook chapters on caring for children with special needs.</t>
  </si>
  <si>
    <t xml:space="preserve">Titles (6)</t>
  </si>
  <si>
    <t xml:space="preserve">2025   Muscle physiology and the science of tone agents</t>
  </si>
  <si>
    <t xml:space="preserve">2021   A narrative review of pharmacologic approaches to symptom management of pediatric patients diagnosed with anti-NMDA receptor encephalitis</t>
  </si>
  <si>
    <t xml:space="preserve">2020   A pragmatic approach to Botulinum Toxin safety</t>
  </si>
  <si>
    <t xml:space="preserve">2019   Utilizing Functional Electrical Stimulation and Exoskeletons in Pediatrics: a Closer Look at Their Roles in Gait and Functional Changes in Cerebral Palsy</t>
  </si>
  <si>
    <t xml:space="preserve">2018   Amantadine-Induced Corneal Edema in a Pediatric Neuro-Oncology Patient: A Case Report</t>
  </si>
  <si>
    <t xml:space="preserve">2016   Pediatric Aspects of Physiatry and Function</t>
  </si>
  <si>
    <t xml:space="preserve">Reneeta Basu   ·   DO</t>
  </si>
  <si>
    <t xml:space="preserve">rbasu@emory.edu</t>
  </si>
  <si>
    <t xml:space="preserve">https://www.emoryhealthcare.org/providers/reneeta-basu-1564496</t>
  </si>
  <si>
    <t xml:space="preserve">Having grown up in Lawrenceville, Georgia, Dr. Reneeta Basu is eager to return home and to serve the community that raised her. She completed her undergraduate degree at Carnegie Mellon University in Pittsburgh, Pennsylvania. She then continued further studies by obtaining her degree in Doctor of Osteopathic Medicine at the Georgia Campus of the Philadelphia College of Osteopathic Medicine in Suwanee, Georgia. She completed her residency in family practice at Westchester General Hospital in Miami, Florida. After traveling to various locations to complete her training, Dr Basu now returns to help serve the community she calls home. As an osteopathic physician, she encompasses the osteopathic philosophy of treating the whole person. She has a special interest in preventive medicine, helping individuals seek their best sense of self care. Dr. Basu is fluent in both Spanish and Bengali, in addition to English, and welcomes patients who speak these languages. Apart from medicine, she is an accomplished dancer of kuchipudi, a traditional South Indian style of dance, and she enjoys reading, traveling, and cooking in her spare time.</t>
  </si>
  <si>
    <t xml:space="preserve">Stephanie Davis   ·   PsyD; MS</t>
  </si>
  <si>
    <t xml:space="preserve">schasta@emory.edu</t>
  </si>
  <si>
    <t xml:space="preserve">Titles (20)</t>
  </si>
  <si>
    <t xml:space="preserve">2026   Keloids as a rare complication of voluntary medical male circumcision: findings from PEPFAR's notifiable adverse events reporting system.</t>
  </si>
  <si>
    <t xml:space="preserve">2025   Poor post-exposure prophylaxis completion despite improvements in post-violence service delivery in 14 PEPFAR-supported sub-Saharan African countries, 2018-2023.</t>
  </si>
  <si>
    <t xml:space="preserve">2025   Evaluating the Impact of the COVID-19 Pandemic on Pediatric Asthma Incidence.</t>
  </si>
  <si>
    <t xml:space="preserve">2024   Mobile Wellness in the Workplace: Addressing the Global Men's Healthcare Gap, from a World Health Organization Framework Perspective.</t>
  </si>
  <si>
    <t xml:space="preserve">2022   Defining the Global Research and Programmatic Agenda and Priority Actions for Voluntary Medical Male Circumcision for HIV Prevention.</t>
  </si>
  <si>
    <t xml:space="preserve">2022   Male circumcision uptake during the Botswana Combination Prevention Project.</t>
  </si>
  <si>
    <t xml:space="preserve">2021   Brief Report: Modeling the Impact of Voluntary Medical Male Circumcision on Cervical Cancer in Uganda.</t>
  </si>
  <si>
    <t xml:space="preserve">2021   The Role of Nurses and Midwives in Expanding and Sustaining Voluntary Medical Male Circumcision Services for HIV Prevention: A Systematic and Policy Review.</t>
  </si>
  <si>
    <t xml:space="preserve">2021   Urethrocutaneous fistulas after voluntary medical male circumcision for HIV prevention-15 African Countries, 2015-2019.</t>
  </si>
  <si>
    <t xml:space="preserve">2021   HIV Incidence by Male Circumcision Status From the Population-Based HIV Impact Assessment Surveys-Eight Sub-Saharan African Countries, 2015-2017.</t>
  </si>
  <si>
    <t xml:space="preserve">2021   Sexually transmitted infections (STI) and antenatal care (ANC) clinics in Malawi: effective platforms for improving engagement of men at high HIV risk with voluntary medical male circumcision services.</t>
  </si>
  <si>
    <t xml:space="preserve">2021   Prevalence of male circumcision in four culturally non-circumcising counties in western Kenya after 10 years of program implementation from 2008 to 2019.</t>
  </si>
  <si>
    <t xml:space="preserve">2021   Making voluntary medical male circumcision services sustainable: Findings from Kenya's pilot models, baseline and year 1.</t>
  </si>
  <si>
    <t xml:space="preserve">2020   Correction to: Association of Male Circumcision with Women's Knowledge of its Biomedical Effects and With Their Sexual Satisfaction and Function: A Systematic Review.</t>
  </si>
  <si>
    <t xml:space="preserve">2020   Case series of glans injuries during voluntary medical male circumcision for HIV prevention - eastern and southern Africa, 2015-2018.</t>
  </si>
  <si>
    <t xml:space="preserve">2019   Rollout of ShangRing circumcision with active surveillance for adverse events and monitoring for uptake in Kenya.</t>
  </si>
  <si>
    <t xml:space="preserve">2019   Does voluntary medical male circumcision protect against sexually transmitted infections among men and women in real-world scale-up settings? Findings of a household survey in KwaZulu-Natal, South Africa.</t>
  </si>
  <si>
    <t xml:space="preserve">2018   Progress in voluntary medical male circumcision for HIV prevention supported by the US President's Emergency Plan for AIDS Relief through 2017: longitudinal and recent cross-sectional programme data.</t>
  </si>
  <si>
    <t xml:space="preserve">2018   Circumcision status at HIV infection is not associated with plasma viral load in men: analysis of specimens from a randomized controlled trial.</t>
  </si>
  <si>
    <t xml:space="preserve">2017   A systems-based assessment of the PrePex device adverse events active surveillance system in Zimbabwe.</t>
  </si>
  <si>
    <t xml:space="preserve">Cheryl Maier   ·   MD; PhD</t>
  </si>
  <si>
    <t xml:space="preserve">clmaier@emory.edu</t>
  </si>
  <si>
    <t xml:space="preserve">https://www.emoryhealthcare.org/providers/cheryl-lynn-maier-1284024</t>
  </si>
  <si>
    <t xml:space="preserve">Investigating fibrinogen as a pathologic and targetable mediator of COVID-19-associated coagulopathy</t>
  </si>
  <si>
    <t xml:space="preserve">Titles (71)</t>
  </si>
  <si>
    <t xml:space="preserve">2026   Thrombin generation and the pharmacodynamics of parenteral anticoagulants.</t>
  </si>
  <si>
    <t xml:space="preserve">2026   Endotheliopathy within the thromboinflammatory network of sepsis-induced coagulopathy.</t>
  </si>
  <si>
    <t xml:space="preserve">2026   Management of anticoagulation in patients with heparin-induced thrombocytopenia requiring cardiac surgery with cardiopulmonary bypass: guidance from the ISTH SSC on Perioperative and Critical Care Haemostasis and Thrombosis.</t>
  </si>
  <si>
    <t xml:space="preserve">2026   Introducing the New Definition and Diagnostic Criteria of Disseminated Intravascular Coagulation Released by the International Society on Thrombosis and Haemostasis in 2025.</t>
  </si>
  <si>
    <t xml:space="preserve">2026   Evolution of Clinical Trials in Anticoagulation for Sepsis: Bridging Past to Future.</t>
  </si>
  <si>
    <t xml:space="preserve">2026   Variable Staphylothrombin Activity in Staphylococcus aureus Bloodstream Infections.</t>
  </si>
  <si>
    <t xml:space="preserve">2026   Redefining Fibrinolytic Insufficiency in Sepsis-Associated DIC.</t>
  </si>
  <si>
    <t xml:space="preserve">2026   Anaphylaxis and coagulopathy: from rare case reports to mechanistic insights.</t>
  </si>
  <si>
    <t xml:space="preserve">2026   Abstract WP368: Thromboelastography for Risk Stratification in Embolic Stroke of Undetermined Source: A Pilot Study</t>
  </si>
  <si>
    <t xml:space="preserve">2026   F.39. Alloimmunogenicity of Pericytes Isolated from Human Placenta</t>
  </si>
  <si>
    <t xml:space="preserve">2025   21 Area under the curve analysis of platelet light-transmission aggregometry curves in patients on P2Y12 inhibitors</t>
  </si>
  <si>
    <t xml:space="preserve">2025   Perioperative use of factor concentrates and blood products-a survey of clinical practices in the United States: communication from the ISTH Subcommittee on Perioperative and Critical Care.</t>
  </si>
  <si>
    <t xml:space="preserve">2025   Disseminated Intravascular Coagulation and Advances in D-Dimer Testing: Progress in Harmonization of Clinical Assays and Innovative Detection Methods.</t>
  </si>
  <si>
    <t xml:space="preserve">2025   Updated definition and scoring of disseminated intravascular coagulation in 2025: communication from the ISTH SSC Subcommittee on Disseminated Intravascular Coagulation.</t>
  </si>
  <si>
    <t xml:space="preserve">2025   Therapeutic plasma exchange for fibrinogen-associated hyperviscosity: results of the COVID-19 PLasma EXchange (COPLEX) randomized controlled trial.</t>
  </si>
  <si>
    <t xml:space="preserve">2025   Mitochondrial dysfunction is a major cause of thromboinflammation and inflammatory cell death in critical illnesses.</t>
  </si>
  <si>
    <t xml:space="preserve">2025   Impact of hyper- and hypothermia on cellular and whole-body physiology.</t>
  </si>
  <si>
    <t xml:space="preserve">2025   Fgl2 regulates FcγRIIB+CD8+ T cell responses during infection.</t>
  </si>
  <si>
    <t xml:space="preserve">2025   Factors influencing antithrombin activity following supplementation in sepsis-associated disseminated intravascular coagulation.</t>
  </si>
  <si>
    <t xml:space="preserve">2025   Defining resistance: Clinical outcomes based on varying definitions of heparin resistance</t>
  </si>
  <si>
    <t xml:space="preserve">2024   Red blood cells: more than bags of hemoglobin</t>
  </si>
  <si>
    <t xml:space="preserve">2024   Designing Future Clinical Trials for Sepsis-associated Disseminated Intravascular Coagulation.</t>
  </si>
  <si>
    <t xml:space="preserve">2024   The role of thromboinflammation in acute kidney injury among patients with septic coagulopathy.</t>
  </si>
  <si>
    <t xml:space="preserve">2024   Managing sepsis and septic shock in an endothelial glycocalyx-friendly way: from the viewpoint of surviving sepsis campaign guidelines.</t>
  </si>
  <si>
    <t xml:space="preserve">2024   Four years into the pandemic, managing COVID-19 patients with acute coagulopathy: what have we learned?</t>
  </si>
  <si>
    <t xml:space="preserve">2024   Finding a common definition of heparin resistance in adult cardiac surgery: communication from the ISTH SSC subcommittee on perioperative and critical care thrombosis and hemostasis.</t>
  </si>
  <si>
    <t xml:space="preserve">2024   Deranged Balance of Hemostasis and Fibrinolysis in Disseminated Intravascular Coagulation: Assessment and Relevance in Different Clinical Settings.</t>
  </si>
  <si>
    <t xml:space="preserve">2024   Concordance Between Platelet Expression Assay (PEA) and Serotonin Release Assay (SRA) in Heparin-Induced Thrombocytopenia: Implications for Diagnostic Accuracy and Laboratory Test Utilization</t>
  </si>
  <si>
    <t xml:space="preserve">2024   Autophagy and autophagic cell death in sepsis: friend or foe?</t>
  </si>
  <si>
    <t xml:space="preserve">2024   Acquired von Willebrand syndrome during extracorporeal membrane oxygenation support: a comprehensive review of current evidence: communication from the ISTH SSC on perioperative and critical care thrombosis and hemostasis.</t>
  </si>
  <si>
    <t xml:space="preserve">2023   Risk stratification utilizing sequential organ failure assessment (SOFA) score, antithrombin activity, and demographic data in sepsis-associated disseminated intravascular coagulation (DIC).</t>
  </si>
  <si>
    <t xml:space="preserve">2023   Prophylactic Platelet Transfusion: Is There Evidence of Benefit, Harm, or No Effect?</t>
  </si>
  <si>
    <t xml:space="preserve">2023   Multiplatform analyses reveal distinct drivers of systemic pathogenesis in adult versus pediatric severe acute COVID-19.</t>
  </si>
  <si>
    <t xml:space="preserve">2023   Antibody-mediated antigen loss switches augmented immunity to antibody-mediated immunosuppression.</t>
  </si>
  <si>
    <t xml:space="preserve">2022   Iron deficiency anemia and bleeding management in pediatric patients with Bernard‐Soulier syndrome and Glanzmann Thrombasthenia: A single‐institution analysis</t>
  </si>
  <si>
    <t xml:space="preserve">2022   Multiplatform Analyses Reveal Distinct Drivers of Systemic Pathogenesis in Adult Versus Pediatric COVID-19</t>
  </si>
  <si>
    <t xml:space="preserve">2022   Estimating severe acute respiratory coronavirus virus 2 (SARS-CoV-2) seroprevalence from residual clinical blood samples, January-March 2021.</t>
  </si>
  <si>
    <t xml:space="preserve">2022   Dysregulated naive B cells and de novo autoreactivity in severe COVID-19.</t>
  </si>
  <si>
    <t xml:space="preserve">2021   COVID-19 patient plasma demonstrates resistance to tPA-induced fibrinolysis as measured by thromboelastography</t>
  </si>
  <si>
    <t xml:space="preserve">2021   Anticoagulation Monitoring for Perioperative Physicians</t>
  </si>
  <si>
    <t xml:space="preserve">2021   Therapeutic plasma exchange for COVID-19-associated hyperviscosity.</t>
  </si>
  <si>
    <t xml:space="preserve">2021   Retrospective Analyses Associate Hemostasis Activation Biomarkers With Poor Outcomes in Patients With COVID-19.</t>
  </si>
  <si>
    <t xml:space="preserve">2021   Interdisciplinary Approach to Thrombosis Management in COVID-19 at a Large Academic Center.</t>
  </si>
  <si>
    <t xml:space="preserve">2021   Fibrinolysis Shutdown and Thrombosis in a COVID-19 ICU.</t>
  </si>
  <si>
    <t xml:space="preserve">2021   Antigen density dictates RBC clearance, but not antigen modulation, following incompatible RBC transfusion in mice.</t>
  </si>
  <si>
    <t xml:space="preserve">2021   A flow-cytometry-based protocol using diverse cell types for detecting autoantibodies from human plasma and serum samples.</t>
  </si>
  <si>
    <t xml:space="preserve">2020   Trends and diagnostic value of D-dimer levels in patients hospitalized with coronavirus disease 2019.</t>
  </si>
  <si>
    <t xml:space="preserve">2020   Towards characterized convalescent plasma for COVID-19: The dose matters.</t>
  </si>
  <si>
    <t xml:space="preserve">2020   Markers Of Coagulation And Hemostatic Activation Identify COVID-19 Patients At High Risk For Thrombotic Events, ICU Admission and Intubation</t>
  </si>
  <si>
    <t xml:space="preserve">2020   Fc Gamma Receptors and Complement Component 3 Facilitate Anti-fVIII Antibody Formation.</t>
  </si>
  <si>
    <t xml:space="preserve">2020   Falsely Low Fibrinogen Levels in COVID-19 Patients on Direct Thrombin Inhibitors.</t>
  </si>
  <si>
    <t xml:space="preserve">2020   Electronic charting of transfusion medicine consults: implementation, challenges and opportunities.</t>
  </si>
  <si>
    <t xml:space="preserve">2020   COVID-19-associated hyperviscosity: a link between inflammation and thrombophilia?</t>
  </si>
  <si>
    <t xml:space="preserve">2020   Broad Auto-Reactive IgM Responses Are Common In Critically Ill COVID-19 Patients.</t>
  </si>
  <si>
    <t xml:space="preserve">2019   Using an old test for new tricks: Measuring direct oral anti-Xa drug levels by conventional heparin-calibrated anti-Xa assay.</t>
  </si>
  <si>
    <t xml:space="preserve">2019   Multiple hemolytic transfusion reactions misinterpreted as severe vaso-occlusive crisis in a patient with sickle cell disease.</t>
  </si>
  <si>
    <t xml:space="preserve">2019   Challenges in the treatment and prevention of delayed hemolytic transfusion reactions with hyperhemolysis in sickle cell disease patients.</t>
  </si>
  <si>
    <t xml:space="preserve">2019   Challenges in preventing and treating hemolytic complications associated with red blood cell transfusion.</t>
  </si>
  <si>
    <t xml:space="preserve">2019   CD47 Regulates Red Blood Cell Alloimmunization in Mice</t>
  </si>
  <si>
    <t xml:space="preserve">2018   Complement serves as a switch between CD4+ T cell-independent and -dependent RBC antibody responses.</t>
  </si>
  <si>
    <t xml:space="preserve">… and 11 older titles, not shown</t>
  </si>
  <si>
    <t xml:space="preserve">Amanda Romeu   ·   DO</t>
  </si>
  <si>
    <t xml:space="preserve">amromeu@emory.edu</t>
  </si>
  <si>
    <t xml:space="preserve">2026   Counseling Reproductive-Age Youth With Epilepsy: Literature Review and Expert Opinion From the Epilepsy in the Child-Bearing Ages Through Menopause Consortium.</t>
  </si>
  <si>
    <t xml:space="preserve">Joshy Jacob   ·   PhD; BS</t>
  </si>
  <si>
    <t xml:space="preserve">Microbiology &amp; Immunology (SOM)
Emory Vaccine Center (Vaccine)
Emory Center for AIDS Research (Vaccine)
Emory National Primate Research Center (EPC)</t>
  </si>
  <si>
    <t xml:space="preserve">jjacob@emory.edu</t>
  </si>
  <si>
    <t xml:space="preserve">https://vaccines.emory.edu/faculty/primary-faculty/jacob-joshy.html</t>
  </si>
  <si>
    <t xml:space="preserve">Dr. Jacob is a Professor in the Emory School of Medicine Department of Microbiology and Immunology. He received his Ph.D. in immunology from the University of Maryland School of Medicine at Baltimore, and did his post-doctoral training at the Rockefeller University and the Massachusetts Institute of Technology. Plasma cells are the terminally differentiated effector cells of the humoral arm of adaptive immunity. They can be short-lived with a half-life of two weeks or long-lived and persist for a lifetime. The mechanisms involved in the regulation of plasma cell function are not fully understood. Our studies have shown that CD28/B7 pathway is crucial for regulating plasma cell function. CD28, which is constitutively expressed on T cells, interacts with B7.1/B7.2 expressed on antigen-presenting cells is critical for T cell activation. CD28 is also expressed on murine and human plasma cells but its function on these cells remains unclear. We have demonstrated that CD28-deficieny in murine short- and long-lived plasma cells leads to increased survival and antibody production than their wildtype counterparts. Interestingly, plasma cells also express the ligand for CD28, B7.1/2. Surprisingly, deficiency of B7.1 and B7.2 in B cells also led to higher antibody levels, analogous to CD28-/- plasma cells. Collectively, our results suggest that the CD28-B7 interaction operates as a key modulator of plasma cell function. Our current research is focused on understanding the mechanistic aspects of how CD28/B7 signals regulate plasma cell function.</t>
  </si>
  <si>
    <t xml:space="preserve">Antigen specificity of plasma cells in Hidradenitis suppurativa skin lesions</t>
  </si>
  <si>
    <t xml:space="preserve">Titles (28)</t>
  </si>
  <si>
    <t xml:space="preserve">2026   Vitamin A and body weight status do not impact humoral immunity against measles, mumps or rubella in individuals 4 to 18 years old: a cross-sectional cohort study in India.</t>
  </si>
  <si>
    <t xml:space="preserve">2026   Seroprevalence of mumps and rubella antibodies among Indian children: evidence of a mumps immunity gap.</t>
  </si>
  <si>
    <t xml:space="preserve">2025   Molecular features of the serological IgG repertoire elicited by egg-based, cell-based, or recombinant haemagglutinin-based seasonal influenza vaccines: a comparative, prospective, observational cohort study.</t>
  </si>
  <si>
    <t xml:space="preserve">2025   Low Measles Seropositivity in Vaccinated Children.</t>
  </si>
  <si>
    <t xml:space="preserve">2024   Distinct Replication Kinetics, Cytopathogenicity, and Immune Gene Regulation in Human Microglia Cells Infected with Asian and African Lineages of Zika Virus.</t>
  </si>
  <si>
    <t xml:space="preserve">2024   Analysis of rare genetic variants in All of Us cohort patients with common variable immunodeficiency.</t>
  </si>
  <si>
    <t xml:space="preserve">2023   A wild boar cathelicidin peptide derivative inhibits severe acute respiratory syndrome coronavirus-2 and its drifted variants.</t>
  </si>
  <si>
    <t xml:space="preserve">2023   Atovaquone and Pibrentasvir Inhibit the SARS-CoV-2 Endoribonuclease and Restrict Infection In Vitro but Not In Vivo.</t>
  </si>
  <si>
    <t xml:space="preserve">2022   A Novel Neuraminidase Virus-Like Particle Vaccine Offers Protection Against Heterologous H3N2 Influenza Virus Infection in the Porcine Model.</t>
  </si>
  <si>
    <t xml:space="preserve">2022   Somatic Diversification of Rearranged Antibody Gene Segments by Intra- and Interchromosomal Templated Mutagenesis.</t>
  </si>
  <si>
    <t xml:space="preserve">2021   The amphibian peptide Yodha is virucidal for Zika and dengue viruses.</t>
  </si>
  <si>
    <t xml:space="preserve">2021   Prediction of severe adverse events, modes of action and drug treatments for COVID-19's complications.</t>
  </si>
  <si>
    <t xml:space="preserve">2020   Squalene emulsion-based vaccine adjuvants stimulate CD8 T cell, but not antibody responses, through a RIPK3-dependent pathway.</t>
  </si>
  <si>
    <t xml:space="preserve">2019   A Multi-Stage Plasmodium vivax Malaria Vaccine Candidate Able to Induce Long-Lived Antibody Responses Against Blood Stage Parasites and Robust Transmission-Blocking Activity.</t>
  </si>
  <si>
    <t xml:space="preserve">2019   Clustered Mutations at the Murine and Human IgH Locus Exhibit Significant Linkage Consistent with Templated Mutagenesis.</t>
  </si>
  <si>
    <t xml:space="preserve">2019   Mining the tree of life: Host defense peptides as antiviral therapeutics.</t>
  </si>
  <si>
    <t xml:space="preserve">2018   A synthetic stroma-free germinal center niche for efficient generation of humoral immunity ex vivo.</t>
  </si>
  <si>
    <t xml:space="preserve">2017   An Amphibian Host Defense Peptide Is Virucidal for Human H1 Hemagglutinin-Bearing Influenza Viruses.</t>
  </si>
  <si>
    <t xml:space="preserve">2017   Quantifying the shifting landscape of B cell immunodominance.</t>
  </si>
  <si>
    <t xml:space="preserve">2016   Faculty Opinions recommendation of Regulated selection of germinal-center cells into the memory B cell compartment.</t>
  </si>
  <si>
    <t xml:space="preserve">2016   Faculty Opinions recommendation of Mitochondrial Pyruvate Import Promotes Long-Term Survival of Antibody-Secreting Plasma Cells.</t>
  </si>
  <si>
    <t xml:space="preserve">2016   Long-lived antigen-induced IgM plasma cells demonstrate somatic mutations and contribute to long-term protection.</t>
  </si>
  <si>
    <t xml:space="preserve">2016   Tetanus vaccination with a dissolving microneedle patch confers protective immune responses in pregnancy.</t>
  </si>
  <si>
    <t xml:space="preserve">2016   Non-neutralizing antibodies induced by seasonal influenza vaccine prevent, not exacerbate A(H1N1)pdm09 disease.</t>
  </si>
  <si>
    <t xml:space="preserve">2015   Faculty Opinions recommendation of Responsiveness of B cells is regulated by the hinge region of IgD.</t>
  </si>
  <si>
    <t xml:space="preserve">2015   Faculty Opinions recommendation of Class-switched memory B cells remodel BCRs within secondary germinal centers.</t>
  </si>
  <si>
    <t xml:space="preserve">2004   Tracking dendritic cells in vivo</t>
  </si>
  <si>
    <t xml:space="preserve">1999   Modelling T-cell memory by genetic marking of memory T cells in vivo</t>
  </si>
  <si>
    <t xml:space="preserve">Kim Hoang   ·   PhD</t>
  </si>
  <si>
    <t xml:space="preserve">klhoang@emory.edu</t>
  </si>
  <si>
    <t xml:space="preserve">Titles (21)</t>
  </si>
  <si>
    <t xml:space="preserve">2026   Host and antibiotic jointly select for greater virulence in Staphylococcus aureus.</t>
  </si>
  <si>
    <t xml:space="preserve">2025   Rising temperatures favour parasite virulence and parallel molecular evolution following a host jump</t>
  </si>
  <si>
    <t xml:space="preserve">2025   Locus coeruleus MRI contrast, cerebral perfusion, and plasma Alzheimer's disease biomarkers in older adults.</t>
  </si>
  <si>
    <t xml:space="preserve">2025   Within-host competition causes pathogen molecular evolution and perpetual microbiota dysbiosis.</t>
  </si>
  <si>
    <t xml:space="preserve">2024   Incomplete immunity in a natural animal-microbiota interaction selects for higher pathogen virulence.</t>
  </si>
  <si>
    <t xml:space="preserve">2024   The impacts of host association and perturbation on symbiont fitness.</t>
  </si>
  <si>
    <t xml:space="preserve">2023   Incomplete immunity in a natural animal-microbiota interaction boosts pathogen virulence</t>
  </si>
  <si>
    <t xml:space="preserve">2023   Experimental temperatures shape host microbiome diversity and composition</t>
  </si>
  <si>
    <t xml:space="preserve">2022   Trade-offs in defence to pathogen species revealed in expanding nematode populations.</t>
  </si>
  <si>
    <t xml:space="preserve">2022   Symbiosis and host responses to heating.</t>
  </si>
  <si>
    <t xml:space="preserve">2022   Symbiont-mediated immune priming in animals through an evolutionary lens</t>
  </si>
  <si>
    <t xml:space="preserve">2022   Symbiosis: Partners in crime.</t>
  </si>
  <si>
    <t xml:space="preserve">2022   Coevolution's conflicting role in the establishment of beneficial associations.</t>
  </si>
  <si>
    <t xml:space="preserve">2021   Association with a novel protective microbe facilitates host adaptation to a stressful environment.</t>
  </si>
  <si>
    <t xml:space="preserve">2020   Evolution of animal immunity in the light of beneficial symbioses.</t>
  </si>
  <si>
    <t xml:space="preserve">2019   The effects of Bacillus subtilis on Caenorhabditis elegans fitness after heat stress.</t>
  </si>
  <si>
    <t xml:space="preserve">2019   Can a Symbiont (Also) Be Food?</t>
  </si>
  <si>
    <t xml:space="preserve">2018   How symbiosis and ecological context influence the variable expression of transgenerational wing induction upon fungal infection of aphids.</t>
  </si>
  <si>
    <t xml:space="preserve">2016   Experimental Evolution as an Underutilized Tool for Studying Beneficial Animal–Microbe Interactions</t>
  </si>
  <si>
    <t xml:space="preserve">2015   Transcriptional variation associated with cactus host plant adaptation inDrosophila mettleripopulations</t>
  </si>
  <si>
    <t xml:space="preserve">2015   Molecular evolution of candidate genes involved in post-mating-prezygotic reproductive isolation</t>
  </si>
  <si>
    <t xml:space="preserve">edragan@emory.edu</t>
  </si>
  <si>
    <t xml:space="preserve">https://med.emory.edu/directory/profile/?u=EDRAGAN</t>
  </si>
  <si>
    <t xml:space="preserve">We are biophysicists using structural biology, chemistry, and virology to understand how herpesviral capsids accomplish various biological feats during viral replication. Herpesviruses are some of the most complex and interesting viruses infecting humans. These viruses are capable of establishing lifelong dormant infections - many of us are infected with at least one type of herpesvirus, and do not even know it. Unfortunately, these viruses can have detrimental effects on the immunocompromised, yet there is no universal vaccine or cure. We are focused on Herpes Simplex Virus Type 1 (HSV-1), a neuroinvasive virus infecting 70% of the human population. Currently, we combine a variety of biophysical tools, along with chemistry and virology, to understand how capsid-centric processes contribute to viral replication. The goal of our work is to provide new insights into how we can more effectively combat this virus.</t>
  </si>
  <si>
    <t xml:space="preserve">Titles (11)</t>
  </si>
  <si>
    <t xml:space="preserve">2026   Detangling knots: the intricate roles of G-quadruplexes in herpesvirus replication.</t>
  </si>
  <si>
    <t xml:space="preserve">2024   The inaugural mBio Junior Editorial Board-lessons learned and the path forward toward improving the peer review process.</t>
  </si>
  <si>
    <t xml:space="preserve">2023   The universal suppressor mutation in the HSV-1 nuclear egress complex restores membrane budding defects by stabilizing the oligomeric lattice</t>
  </si>
  <si>
    <t xml:space="preserve">2022   The nuclear egress complex of Epstein-Barr virus buds membranes through an oligomerization-driven mechanism.</t>
  </si>
  <si>
    <t xml:space="preserve">2021   Virus-derived peptide inhibitors of the herpes simplex virus type 1 nuclear egress complex.</t>
  </si>
  <si>
    <t xml:space="preserve">2021   The Ins and Outs of Herpesviral Capsids: Divergent Structures and Assembly Mechanisms across the Three Subfamilies</t>
  </si>
  <si>
    <t xml:space="preserve">2020   Structural basis for capsid recruitment and coat formation during HSV-1 nuclear egress</t>
  </si>
  <si>
    <t xml:space="preserve">2020   Nuclear Egress.</t>
  </si>
  <si>
    <t xml:space="preserve">2016   Corynebacterium diphtheriae HmuT: dissecting the roles of conserved residues in heme pocket stabilization.</t>
  </si>
  <si>
    <t xml:space="preserve">2016   Heme-bound SiaA from Streptococcus pyogenes: Effects of mutations and oxidation state on protein stability.</t>
  </si>
  <si>
    <t xml:space="preserve">2015   Heme Binding by Corynebacterium diphtheriae HmuT: Function and Heme Environment.</t>
  </si>
  <si>
    <t xml:space="preserve">Michelle Kegler   ·   BA; MD; MPH; PhD</t>
  </si>
  <si>
    <t xml:space="preserve">Cancer Prevention &amp; Control (Winship)
Behavioral, Social, &amp; Health Education Scien… (RSPH)
Environmental Health (RSPH)
Global Health (RSPH)</t>
  </si>
  <si>
    <t xml:space="preserve">mkegler@emory.edu</t>
  </si>
  <si>
    <t xml:space="preserve">https://sph.emory.edu/profile/faculty/michelle-kegler</t>
  </si>
  <si>
    <t xml:space="preserve">DP24-004, PRC, Core: Emory Prevention Research Center
Promoting Smoke-Free Homes in Rural American Indian Households
SIP-24-008: Managing Epilepsy Well (MEW) Network
SIP-24-003 Cancer Prevention and Control Research Network (CPCRN)</t>
  </si>
  <si>
    <t xml:space="preserve">Titles (73)</t>
  </si>
  <si>
    <t xml:space="preserve">2026   Comparing Risk Profiles of Nicotine Pouch and Smokeless Tobacco Use in U.S. Adolescents: A Machine Learning Analysis</t>
  </si>
  <si>
    <t xml:space="preserve">2026   Exploring Associations Between Well-Being, Mental Distress, and Five Dimensions of Social Capital in Rural Georgia</t>
  </si>
  <si>
    <t xml:space="preserve">2026   Implementing nutrition policy, system and environmental change strategies in a rural food pantry to improve nutrition security: contextual factors and outcomes</t>
  </si>
  <si>
    <t xml:space="preserve">2026   Community readiness to address rural health equity: Progress and challenges across eleven Georgia communities</t>
  </si>
  <si>
    <t xml:space="preserve">2026   Community Coalitions Implementing and Sustaining Policy, Systems and Environment Strategies for Rural Health Equity</t>
  </si>
  <si>
    <t xml:space="preserve">2025   Social capital's association with self-reported health outcomes in the rural south: variations by demographic subgroup</t>
  </si>
  <si>
    <t xml:space="preserve">2025   Individual‐ and environmental‐level determinants of fruit and vegetable intakes in rural Georgia</t>
  </si>
  <si>
    <t xml:space="preserve">2025   Impact and Cost-Effectiveness of a Home Food Environment Intervention on Healthy Eating</t>
  </si>
  <si>
    <t xml:space="preserve">2025   Changes in home food inventories and food procurement practices during the COVID-19 pandemic</t>
  </si>
  <si>
    <t xml:space="preserve">2025   Charting a path forward toward integrating macrolevel phenomena, marginalization, and health equity principles in into dissemination and implementation science.</t>
  </si>
  <si>
    <t xml:space="preserve">2025   COVID-19 Vaccine Acceptance among People who Smoke in Rural Southwest Georgia: Perspectives and Influencing Factors.</t>
  </si>
  <si>
    <t xml:space="preserve">2024   The inclusion of e-cigarettes and heated tobacco products in smoke-free home and car rules: A cross-sectional survey of adults in Armenia and Georgia</t>
  </si>
  <si>
    <t xml:space="preserve">2024   Examining the creation of synergy in community coalitions for smoke-free environments in Armenia and Georgia</t>
  </si>
  <si>
    <t xml:space="preserve">2024   Community Coalitions and Empowerment</t>
  </si>
  <si>
    <t xml:space="preserve">2024   Evaluating the effectiveness of Smoke-Free Home SafeCare, an integrated intervention, among families at risk for secondhand smoke exposure and child maltreatment in the United States: a study protocol for a hybrid type 1 trial.</t>
  </si>
  <si>
    <t xml:space="preserve">2024   Scaling the EQUIPPED medication safety program: Traditional and hub-and-spoke implementation models.</t>
  </si>
  <si>
    <t xml:space="preserve">2024   Understanding the relationship between social capital, health, and well-being in a southern rural population.</t>
  </si>
  <si>
    <t xml:space="preserve">2023   Using the Collaborative Problem-Solving Model: Findings from an Evaluation of U.S. EPA’s Environmental Justice Academy</t>
  </si>
  <si>
    <t xml:space="preserve">2023   Smoke-free home restrictions in Armenia and Georgia: motives, barriers and secondhand smoke reduction behaviors</t>
  </si>
  <si>
    <t xml:space="preserve">2023   Evaluation Design for The Two Georgias Initiative: Assessing Progress Toward Health Equity in the Rural South</t>
  </si>
  <si>
    <t xml:space="preserve">2023   Community coalitions for smoke-free environments in Armenia and Georgia: A mixed methods analysis of coalition formation, implementation and perceived effectiveness</t>
  </si>
  <si>
    <t xml:space="preserve">2023   Cancer-Related Barriers to Health Behaviors Among Adolescent and Young Adult Survivors of Pediatric Cancer and Their Families</t>
  </si>
  <si>
    <t xml:space="preserve">2023   Food Insecurity Moderates Association Between Perceived Fresh Fruit and Vegetable Access and Vegetable Intake in the Rural Southern US</t>
  </si>
  <si>
    <t xml:space="preserve">2023   A qualitative study on the influence of COVID-19 on smoking behaviors through changing social and physical contexts.</t>
  </si>
  <si>
    <t xml:space="preserve">2023   Expanding population-level interventions to help more low-income smokers quit: Study protocol for a randomized controlled trial.</t>
  </si>
  <si>
    <t xml:space="preserve">2022   Food Acquisition Practices, Body Mass Index, and Dietary Outcomes by Level of Rurality</t>
  </si>
  <si>
    <t xml:space="preserve">2022   Inner and outer setting factors that influence the implementation of the National Diabetes Prevention Program (National DPP) using the Consolidated Framework for Implementation Research (CFIR): a qualitative study.</t>
  </si>
  <si>
    <t xml:space="preserve">2022   Applying Theory to Explain the Influence of Factors External to an Organization on the Implementation of an Evidence-Based Intervention.</t>
  </si>
  <si>
    <t xml:space="preserve">2021   Psychosocial Factors, Smoke-Free Restrictions, and Media Exposure in Relation to Smoking-Related Attitudes and Behaviors among Adults in Armenia and Georgia</t>
  </si>
  <si>
    <t xml:space="preserve">2021   Home Snack Environments in the United States: Latent Class Analysis Findings From a Home Food Environment Survey</t>
  </si>
  <si>
    <t xml:space="preserve">2021   Home food environment and associations with weight and diet among U.S. adults: a cross-sectional study</t>
  </si>
  <si>
    <t xml:space="preserve">2021   Smokers' and non-smokers' secondhand smoke experiences and interactions to reduce exposure in Armenia and Georgia.</t>
  </si>
  <si>
    <t xml:space="preserve">2021   Reducing Socioeconomic Disparities in Comprehensive Smoke-Free Rules Among Households with Children: A Pilot Intervention Implemented Through A National Cancer Program</t>
  </si>
  <si>
    <t xml:space="preserve">2020   Smokers’ and Nonsmokers’ Receptivity to Smoke-Free Policies and Pro- and Anti-Policy Messaging in Armenia and Georgia</t>
  </si>
  <si>
    <t xml:space="preserve">2020   A Scoping Review of Capacity-Building Efforts to Address Environmental Justice Concerns</t>
  </si>
  <si>
    <t xml:space="preserve">2020   Sequential implementation of the EQUIPPED geriatric medication safety program as a learning health system.</t>
  </si>
  <si>
    <t xml:space="preserve">2020   Safe Community Gardening Practices: Focus Groups with Garden Leaders in Atlanta, Georgia.</t>
  </si>
  <si>
    <t xml:space="preserve">2019   Strengthening Our Collaborative Approaches for Advancing Equity and Justice</t>
  </si>
  <si>
    <t xml:space="preserve">2019   Moderators of Establishing a Smoke-Free Home: Pooled Data from Three Randomized Controlled Trials of a Brief Intervention</t>
  </si>
  <si>
    <t xml:space="preserve">2019   Learning From Coalitions’ Efforts to Promote Equity and Justice</t>
  </si>
  <si>
    <t xml:space="preserve">2019   Adaptation of a brief smoke-free homes intervention for American Indian and Alaska Native families</t>
  </si>
  <si>
    <t xml:space="preserve">2019   A qualitative study of the process of adoption, implementation and enforcement of smoke-free policies in privately-owned affordable housing</t>
  </si>
  <si>
    <t xml:space="preserve">2019   A Qualitative Study about Creating Smoke-free Home Rules in American Indian and Alaska Native Households</t>
  </si>
  <si>
    <t xml:space="preserve">2019   Perspectives on Heavy Metal Soil Testing Among Community Gardeners in the United States: A Mixed Methods Approach.</t>
  </si>
  <si>
    <t xml:space="preserve">2019   SEQUENTIAL IMPLEMENTATION AS A LEARNING HEALTH ORGANIZATION: THE EQUIPPED GERIATRIC MEDICATION SAFETY MODEL</t>
  </si>
  <si>
    <t xml:space="preserve">2018   Urban Farmers Markets as a Strategy to Increase Access to and Consumption of Fresh Vegetables among SNAP and Non-SNAP Participants: Results from an Evaluation</t>
  </si>
  <si>
    <t xml:space="preserve">2018   Measuring Constructs of the Consolidated Framework for Implementation Research in the Context of Increasing Colorectal Cancer Screening in Federally Qualified Health Center</t>
  </si>
  <si>
    <t xml:space="preserve">2018   Use of Evidence-Based Interventions and Implementation Strategies to Increase Colorectal Cancer Screening in Federally Qualified Health Centers.</t>
  </si>
  <si>
    <t xml:space="preserve">2017   Beverage Consumption Patterns among Overweight and Obese African American Women</t>
  </si>
  <si>
    <t xml:space="preserve">2017   Advancing the Science of Qualitative Research to Promote Health Equity.</t>
  </si>
  <si>
    <t xml:space="preserve">2017   Coaching to create a smoke-free home in a brief secondhand smoke intervention.</t>
  </si>
  <si>
    <t xml:space="preserve">2017   Findings from a National home food Environment Survey: How does Georgia Compare?</t>
  </si>
  <si>
    <t xml:space="preserve">2016   National and State-Specific Attitudes toward Smoke-Free Parks among U.S. Adults</t>
  </si>
  <si>
    <t xml:space="preserve">2016   Smoke-Free Rules and Secondhand Smoke Exposure in Vehicles among U.S. Adults-National Adult Tobacco Survey, 2009-2010 and 2013-2014.</t>
  </si>
  <si>
    <t xml:space="preserve">2016   A neglected opportunity for China's tobacco control? Shift in smoking behavior during and after wives' pregnancy.</t>
  </si>
  <si>
    <t xml:space="preserve">2016   Knowledge, Attitudes, and Practices Regarding Smoke-Free Policies in Multi-Unit Housing in Georgia</t>
  </si>
  <si>
    <t xml:space="preserve">2016   Assessment of the Building Collaborative Research Capacity Model: Bridging the community-academic researcher divide</t>
  </si>
  <si>
    <t xml:space="preserve">2015   Perceived benefits of smoke-free homes, the process of establishing them, and enforcement challenges in Shanghai, China: a qualitative study</t>
  </si>
  <si>
    <t xml:space="preserve">2015   Promoting Policy and Environmental Change in Faith-Based Organizations: Organizational Level Findings From a Mini Grants Program</t>
  </si>
  <si>
    <t xml:space="preserve">2015   Perceived Harm, Addictiveness, and Social Acceptability of Tobacco Products and Marijuana Among Young Adults: Marijuana, Hookah, and Electronic Cigarettes Win</t>
  </si>
  <si>
    <t xml:space="preserve">… and 13 older titles, not shown</t>
  </si>
  <si>
    <t xml:space="preserve">John Blevins   ·   PhD; MPH</t>
  </si>
  <si>
    <t xml:space="preserve">jblevin@emory.edu</t>
  </si>
  <si>
    <t xml:space="preserve">https://sph.emory.edu/profile/faculty/john-blevins</t>
  </si>
  <si>
    <t xml:space="preserve">As part of the faculty in the Hubert Department of Global Health at the Rollins School of Public Health, Dr. Blevins is the Director of the Interfaith Health Program (IHP) and Director of Social-Behavioral Sciences for the Child Health and Mortality Prevention Surveillance (CHAMPS) Network. Prior to joining the Global Health faculty, he worked as a chaplain to persons with HIV/AIDS in Atlanta and Chicago; coordinated patient education services for people living with HIV/AIDS in Atlanta's public health system; managed a clinical training program on HIV, mental illness, and drug use in the Emory University School of Medicine; and served on the faculty of the Candler School of Theology at Emory. Dr. Blevins has served as a consultant for the Emory School of Medicine in the fields of mental health, substance abuse, and HIV; in that capacity he provided clinical education to practitioners in various HIV public health programs around the southeastern United States. Dr. Blevins brings interdisciplinary scholarship and practice into the study of religion and public health. He currently holds secondary appointments in the Global Health and Development program and in the Graduate Division of Religion in Emory's Laney Graduate School and serves on the Executive Committee of Emory's Religion and Public Health Collaborative. Dr. Blevins teaches two elective courses in religion and public health; one looks at HIV and the other looks at sexual and reproductive health by examining religions' varied influneces on these two topics in global contexts. These courses are cross-listed with other schools at Emory including the Candler School of Theology, offering Rollins students a distinctive opportunity for interdisciplinary learning. In addition, Dr. Blevins teaches Health Systems, Social Justice, and Equity, a core course in the global health He is author of numerous peer-reviewed articles in religion and public health that inform scholarship not only in public health but also in the social sciences and humanities. In addition, he is author of To Transfer the Empire of the World: Christianity's Influence on United States Global Health and Development Policy (Routledge Press, 2019), a social history of the influences of American religious beliefs and narratives on global health programs from the 19th century to the present. B.A. magna cum laude (Phi Beta Kappa, 1989), Furman University M.Div. (Master of Divinity), Duke University Th.D. (Doctor of Theology), Emory University</t>
  </si>
  <si>
    <t xml:space="preserve">2025   Understanding Barriers to HIV testing Among Pregnant women in Soweto, Johannesburg: A Socio-Ecological Perspective [version 1]</t>
  </si>
  <si>
    <t xml:space="preserve">2025   Contributions of traditional healers and traditional birth attendants to maternal health in Soweto, South Africa</t>
  </si>
  <si>
    <t xml:space="preserve">2024   Child mortality in Eastern Ethiopia: acceptability of Postmortem minimally invasive tissue sampling in a predominantly muslim community.</t>
  </si>
  <si>
    <t xml:space="preserve">2024   Intimate partner violence in lesbian, gay, bisexual, transgender, queer, and intersex relationships: a call for research-to-action partnerships in higher education settings.</t>
  </si>
  <si>
    <t xml:space="preserve">2024   Health care-seeking behavior for childhood illnesses in western Kenya: Qualitative findings from the Child Health and Mortality Prevention Surveillance (CHAMPS) Study.</t>
  </si>
  <si>
    <t xml:space="preserve">2023   A Qualitative Assessment of Community Acceptability and Its Determinants in the Implementation of Minimally Invasive Tissue Sampling in Children in Quelimane City, Mozambique.</t>
  </si>
  <si>
    <t xml:space="preserve">2023   Religion as a social force in health: complexities and contradictions.</t>
  </si>
  <si>
    <t xml:space="preserve">2023   Experiences of parents and caretakers going through the consent process to perform minimally invasive tissue sampling (MITS) on their deceased children in Quelimane, Mozambique: A qualitative study.</t>
  </si>
  <si>
    <t xml:space="preserve">2023   Acceptability of minimally invasive autopsy by community members and healthcare workers in Siaya and Kisumu counties, western Kenya, 2017-2018.</t>
  </si>
  <si>
    <t xml:space="preserve">2022   Using traditional healers to treat child malnutrition: a qualitative study of health-seeking behaviour in eastern Ethiopia.</t>
  </si>
  <si>
    <t xml:space="preserve">2021   Book Review: Sanders, Cody J. Christianity, LGBTQ suicide, and the souls of queer folk</t>
  </si>
  <si>
    <t xml:space="preserve">2021   Rumor surveillance in support of minimally invasive tissue sampling for diagnosing the cause of child death in low-income countries: A qualitative study.</t>
  </si>
  <si>
    <t xml:space="preserve">2021   Consent to minimally invasive tissue sampling procedures in children in Mozambique: A mixed-methods study.</t>
  </si>
  <si>
    <t xml:space="preserve">2020   Abortion attitudes, religious and moral beliefs, and pastoral care among Protestant religious leaders in Georgia.</t>
  </si>
  <si>
    <t xml:space="preserve">2019   Using Participatory Workshops to Assess Alignment or Tension in the Community for Minimally Invasive Tissue Sampling Prior to Start of Child Mortality Surveillance: Lessons From 5 Sites Across the CHAMPS Network.</t>
  </si>
  <si>
    <t xml:space="preserve">2019   Investigating the Feasibility of Child Mortality Surveillance With Postmortem Tissue Sampling: Generating Constructs and Variables to Strengthen Validity and Reliability in Qualitative Research.</t>
  </si>
  <si>
    <t xml:space="preserve">2019   Faith and Global Health Practice in Ebola and HIV Emergencies.</t>
  </si>
  <si>
    <t xml:space="preserve">2017   The percentage of HIV treatment and prevention services in Kenya provided by faith-based health providers</t>
  </si>
  <si>
    <t xml:space="preserve">2017   Religion, a social determinant of mortality? A 10-year follow-up of the Health and Retirement Study.</t>
  </si>
  <si>
    <t xml:space="preserve">2016   Reflections on HIV-Related Experiences of Two Global Funding Mechanisms Supporting Religious Health Providers</t>
  </si>
  <si>
    <t xml:space="preserve">2015   Engaging community change: the critical role of values in asset mapping</t>
  </si>
  <si>
    <t xml:space="preserve">2015   Different Ways of Doing Violence: Sexuality, Religion, and Public Health in the Lives of Same-Gender-Loving Men in Kenya</t>
  </si>
  <si>
    <t xml:space="preserve">2014   Public Health Reform Movements and the Social Gospel. In "Religion as a Social Determinant of Public Health."</t>
  </si>
  <si>
    <t xml:space="preserve">2012   Becoming Undone and Becoming Human: Sexual and Religious Selves in the Thought of Michel Foucault and Judith Butler</t>
  </si>
  <si>
    <t xml:space="preserve">2011   When Sodomy Leads to Martyrdom: Sex, Religion, and Politics in Historical and Contemporary Contexts in Uganda and East Africa</t>
  </si>
  <si>
    <t xml:space="preserve">2011   Tough Negotiations: Religion and Sex in Culture and Human Lives in the United States and South Africa</t>
  </si>
  <si>
    <t xml:space="preserve">2010   CULTIVATING A CRITICAL ATTITUDE IN PASTORAL THEOLOGY: A RESPONSE TO DAVID HOGUE</t>
  </si>
  <si>
    <t xml:space="preserve">2010   An Emerging Field in Religion and Reproductive Health</t>
  </si>
  <si>
    <t xml:space="preserve">2009   HOSPITALITY IS A QUEER THING</t>
  </si>
  <si>
    <t xml:space="preserve">2008   Different Subjects: Postmodern Selves in Psychology and Religion</t>
  </si>
  <si>
    <t xml:space="preserve">2007   Uncovering the Eros of God</t>
  </si>
  <si>
    <t xml:space="preserve">2007   Exodus International</t>
  </si>
  <si>
    <t xml:space="preserve">2007   Ex-Gay Ministries</t>
  </si>
  <si>
    <t xml:space="preserve">2005   Broadening the Family of God: Debating Same-sex Marriage and Queer Families in America</t>
  </si>
  <si>
    <t xml:space="preserve">Hassan Monfared   ·   MD</t>
  </si>
  <si>
    <t xml:space="preserve">hmonfar@emory.edu</t>
  </si>
  <si>
    <t xml:space="preserve">https://www.emoryhealthcare.org/providers/hassan-monfared-780032</t>
  </si>
  <si>
    <t xml:space="preserve">Hassan Monfared, MD, focused on Physical Medicine and Rehabilitation Emory Orthopaedics &amp; Spine Center. He offers a full range of services to diagnose, treat, repair bones, joints, and connective tissue, like muscles and tendons. From non-surgical treatments to surgical options, including spine surgery and total joint replacement, our goal is to help you return to a full and active lifestyle or work with you to develop strategies to improve your health.</t>
  </si>
  <si>
    <t xml:space="preserve">Phillip Zhe Sun   ·   PhD</t>
  </si>
  <si>
    <t xml:space="preserve">pzhesun@emory.edu</t>
  </si>
  <si>
    <t xml:space="preserve">https://winshipcancer.emory.edu/profiles/sun-phillip.php</t>
  </si>
  <si>
    <t xml:space="preserve">Phillip Zhe Sun, PhD, is a professor in the Department of Radiology and Imaging Sciences at Emory University School of Medicine. Dr. Sun serves as director of the Imaging Center at Emory National Biomedical Research Center. Dr. Sun is a member of the Discovery and Developmental Therapeutics Research Program at Winship Cancer Institute. Dr. Sun earned his PhD in the Radiological Science Joint Program from the Division of Health Sciences and Technology, Harvard University and Massachusetts Institute of Technology in Cambridge, Massachusetts. He completed his postdoctoral training at Johns Hopkins University in Baltimore, Maryland. Professor, Department of Radiology and Imaging Sciences Emory National Biomedical Research Center Dr. Sun is a member of the Research Scientist Committee, American Society of NeuroRadiology, and a recipient of the Distinguished Investigator Award, Academy of Radiology Research. He holds memberships in numerous professional organizations, including the American Heart Association, International Society of Magnetic Resonance in Medicine and International Society for Cerebral Blood Flow and Metabolism.</t>
  </si>
  <si>
    <t xml:space="preserve">Titles (122)</t>
  </si>
  <si>
    <t xml:space="preserve">2026   Demonstration of CEST MRI in an Animal Model of Acute Ischemic Stroke at 15.2 T With Simple Linearization for B1 Inhomogeneity Correction</t>
  </si>
  <si>
    <t xml:space="preserve">2026   Detection of Altered Muscle Glycogen- and NOE-Weighted CEST MRI Signals in an Acid Alpha-Glucosidase-Deficient Mouse Model of Pompe Disease Using QUASS-Enhanced Multi-Pool Quantitative CEST</t>
  </si>
  <si>
    <t xml:space="preserve">2026   Cubic Millimeter High Resolution 3D Inner-Volume GRASE (IV-GRASE) CEST MRI Using T1-Integrated Variable Density CAIPI Sampling With Temporal Random Walk: A Feasibility Study</t>
  </si>
  <si>
    <t xml:space="preserve">2026   Detection of Altered Muscle Glycogen- and NOE-Weighted CEST MRI Signals in an Acid Alpha-Glucosidase-Deficient Mouse Model of Pompe Disease Using QUASS-Enhanced Multi-Pool Quantitative CEST (QCEST) Imaging.</t>
  </si>
  <si>
    <t xml:space="preserve">2026   Quantitative Consistency of Amide Proton Transfer-Weighted MRI for Brain Tumor Differentiation: Systematic Review of Clinical Evidence.</t>
  </si>
  <si>
    <t xml:space="preserve">2025   Physics-guided multi-dimensional scan optimization and quasi-steady-state reconstruction to enhance CEST MRI sensitivity efficiency and quantification accuracy.</t>
  </si>
  <si>
    <t xml:space="preserve">2025   Motion and magnetic field inhomogeneity correction techniques for chemical exchange saturation transfer (CEST) MRI: A contemporary review.</t>
  </si>
  <si>
    <t xml:space="preserve">2025   Improving standardization and accuracy of in vivo omega plot exchange parameter determination using rotating-frame model-based fitting of quasi-steady-state Z-spectra.</t>
  </si>
  <si>
    <t xml:space="preserve">2024   Quasi-steady-state (QUASS) reconstruction enhances T1 normalization in apparent exchange-dependent relaxation (AREX) analysis: A reevaluation of T1 correction in quantitative CEST MRI of rodent brain tumor models.</t>
  </si>
  <si>
    <t xml:space="preserve">2024   Fast and robust pulsed chemical exchange saturation transfer (CEST) MRI using a quasi-steady-state (QUASS) algorithm at 3 T.</t>
  </si>
  <si>
    <t xml:space="preserve">2024   A Pilot Study of Ratiometric Creatine CEST MRI Assessment of Rabbit Skeletal Muscle Energy Metabolism at 3 T.</t>
  </si>
  <si>
    <t xml:space="preserve">2024   Specific and rapid guanidinium CEST imaging using double saturation power and QUASS analysis in a rodent model of global ischemia.</t>
  </si>
  <si>
    <t xml:space="preserve">2023   CEST2022 - mapping multi-pool CEST signal changes in an animal model of brain tumor with quasi-steady-state reconstruction-empowered CEST quantification.</t>
  </si>
  <si>
    <t xml:space="preserve">2023   CEST 2022 - A special issue on CEST MRI from the 9th international chemical exchange saturation transfer workshop.</t>
  </si>
  <si>
    <t xml:space="preserve">2023   Numerical simulation-based assessment of pH-sensitive chemical exchange saturation transfer MRI quantification accuracy across field strengths.</t>
  </si>
  <si>
    <t xml:space="preserve">2023   Comparison of model-free Lorentzian and spinlock model-based fittings in quantitative CEST imaging of acute stroke.</t>
  </si>
  <si>
    <t xml:space="preserve">2023   Generalization of quasi-steady-state reconstruction to CEST MRI with two-tiered RF saturation and gradient-echo readout-Synergistic nuclear Overhauser enhancement contribution to brain tumor amide proton transfer-weighted MRI.</t>
  </si>
  <si>
    <t xml:space="preserve">2023   Discrimination between progressive penumbra and benign oligemia of the diffusion-perfusion mismatch region by amide proton transfer-weighted imaging.</t>
  </si>
  <si>
    <t xml:space="preserve">2023   Detection of tissue pH with quantitative chemical exchange saturation transfer magnetic resonance imaging.</t>
  </si>
  <si>
    <t xml:space="preserve">2023   3D CEST MRI with an unevenly segmented RF irradiation scheme: A feasibility study in brain tumor imaging.</t>
  </si>
  <si>
    <t xml:space="preserve">2023   Tissue perfusion of the kurtosis/diffusion mismatch differs from the central core and peripheral regions in acute cerebral infarction patients.</t>
  </si>
  <si>
    <t xml:space="preserve">2023   In vivo pH mapping with omega plot-based quantitative chemical exchange saturation transfer MRI.</t>
  </si>
  <si>
    <t xml:space="preserve">2023   Demonstration of pH imaging in acute stroke with endogenous ratiometric chemical exchange saturation transfer magnetic resonance imaging at 2 ppm.</t>
  </si>
  <si>
    <t xml:space="preserve">2023   Demonstration of accurate multi-pool chemical exchange saturation transfer MRI quantification - Quasi-steady-state reconstruction empowered quantitative CEST analysis.</t>
  </si>
  <si>
    <t xml:space="preserve">2022   Use of multimodality imaging, histology, and treatment feasibility to characterize a transgenic Rag2 -null rat model of glioblastoma.</t>
  </si>
  <si>
    <t xml:space="preserve">2022   Review and consensus recommendations on clinical APT-weighted imaging approaches at 3T: Application to brain tumors.</t>
  </si>
  <si>
    <t xml:space="preserve">2022   Quasi-steady-state amide proton transfer (QUASS APT) MRI enhances pH-weighted imaging of acute stroke.</t>
  </si>
  <si>
    <t xml:space="preserve">2022   Fast diffusion kurtosis imaging in acute ischemic stroke shows mean kurtosis-diffusivity mismatch.</t>
  </si>
  <si>
    <t xml:space="preserve">2022   Fast and equilibrium CEST imaging of brain tumor patients at 3T.</t>
  </si>
  <si>
    <t xml:space="preserve">2022   Demonstration of fast multi-slice quasi-steady-state chemical exchange saturation transfer (QUASS CEST) human brain imaging at 3T.</t>
  </si>
  <si>
    <t xml:space="preserve">2022   Demonstration of fast and equilibrium human muscle creatine CEST imaging at 3 T.</t>
  </si>
  <si>
    <t xml:space="preserve">2022   Consistent depiction of the acidic ischemic lesion with APT MRI-Dual RF power evaluation of pH-sensitive image in acute stroke.</t>
  </si>
  <si>
    <t xml:space="preserve">2021   Renal pH Mapping Using Chemical Exchange Saturation Transfer (CEST) MRI: Experimental Protocol.</t>
  </si>
  <si>
    <t xml:space="preserve">2021   Renal pH Imaging Using Chemical Exchange Saturation Transfer (CEST) MRI: Basic Concept.</t>
  </si>
  <si>
    <t xml:space="preserve">2021   Refined Ischemic Penumbra Imaging with Tissue pH and Diffusion Kurtosis Magnetic Resonance Imaging.</t>
  </si>
  <si>
    <t xml:space="preserve">2021   Quasi-steady-state chemical exchange saturation transfer (QUASS CEST) MRI analysis enables T 1 normalized CEST quantification - Insight into T 1 contribution to CEST measurement.</t>
  </si>
  <si>
    <t xml:space="preserve">2021   Quasi-steady-state CEST (QUASS CEST) solution improves the accuracy of CEST quantification: QUASS CEST MRI-based omega plot analysis.</t>
  </si>
  <si>
    <t xml:space="preserve">2021   Quasi-steady state chemical exchange saturation transfer (QUASS CEST) analysis-correction of the finite relaxation delay and saturation time for robust CEST measurement.</t>
  </si>
  <si>
    <t xml:space="preserve">2021   Pulseq-CEST: Towards multi-site multi-vendor compatibility and reproducibility of CEST experiments using an open-source sequence standard.</t>
  </si>
  <si>
    <t xml:space="preserve">2021   Preliminary demonstration of in vivo quasi-steady-state CEST postprocessing-Correction of saturation time and relaxation delay for robust quantification of tumor MT and APT effects.</t>
  </si>
  <si>
    <t xml:space="preserve">2021   Metabolic Magnetic Resonance Imaging in Neuroimaging: Magnetic Resonance Spectroscopy, Sodium Magnetic Resonance Imaging and Chemical Exchange Saturation Transfer.</t>
  </si>
  <si>
    <t xml:space="preserve">2021   Low-density lipoprotein receptor-related protein-1 (LRP1) targeting contrast-enhanced MRI as a novel strategy for epilepsy imaging.</t>
  </si>
  <si>
    <t xml:space="preserve">2021   Development of fast multi-slice apparent T 1 mapping for improved arterial spin labeling MRI measurement of cerebral blood flow.</t>
  </si>
  <si>
    <t xml:space="preserve">2021   Brain pH Imaging and its Applications.</t>
  </si>
  <si>
    <t xml:space="preserve">2021   Analysis Protocol for the Quantification of Renal pH Using Chemical Exchange Saturation Transfer (CEST) MRI.</t>
  </si>
  <si>
    <t xml:space="preserve">2021   Alkaline brain pH shift in rodent lithium-pilocarpine model of epilepsy with chronic seizures.</t>
  </si>
  <si>
    <t xml:space="preserve">2020   Limits on gas impermeability of graphene.</t>
  </si>
  <si>
    <t xml:space="preserve">2020   Examining fMRI time-series entropy as a marker for brain E/I balance with pharmacological neuromodulation in a non-human primate translational model.</t>
  </si>
  <si>
    <t xml:space="preserve">2020   Chemokine receptor 4 targeted protein MRI contrast agent for early detection of liver metastases.</t>
  </si>
  <si>
    <t xml:space="preserve">2020   Investigating the origin of pH-sensitive magnetization transfer ratio asymmetry MRI contrast during the acute stroke: Correction of T 1 change reveals the dominant amide proton transfer MRI signal.</t>
  </si>
  <si>
    <t xml:space="preserve">2020   Improved MR fingerprinting for relaxation measurement in the presence of semisolid magnetization transfer.</t>
  </si>
  <si>
    <t xml:space="preserve">2020   Fast correction of B 0 field inhomogeneity for pH-specific magnetization transfer and relaxation normalized amide proton transfer imaging of acute ischemic stroke without Z-spectrum.</t>
  </si>
  <si>
    <t xml:space="preserve">2020   Development of intravoxel inhomogeneity correction for chemical exchange saturation transfer spectral imaging: a high-resolution field map-based deconvolution algorithm for magnetic field inhomogeneity correction.</t>
  </si>
  <si>
    <t xml:space="preserve">2020   Demonstration of magnetization transfer and relaxation normalized pH-specific pulse-amide proton transfer imaging in an animal model of acute stroke.</t>
  </si>
  <si>
    <t xml:space="preserve">2019   Preliminary evaluation of dynamic glucose enhanced MRI of the human placenta during glucose tolerance test.</t>
  </si>
  <si>
    <t xml:space="preserve">2019   Preliminary evaluation of accelerated microscopic diffusional kurtosis imaging (μDKI) in a rodent model of epilepsy.</t>
  </si>
  <si>
    <t xml:space="preserve">2019   Mapping tissue pH in an experimental model of acute stroke - Determination of graded regional tissue pH changes with non-invasive quantitative amide proton transfer MRI.</t>
  </si>
  <si>
    <t xml:space="preserve">2019   In vivo microscopic diffusional kurtosis imaging with symmetrized double diffusion encoding EPI.</t>
  </si>
  <si>
    <t xml:space="preserve">2019   Direct radiofrequency saturation corrected amide proton transfer tumor MRI at 3T.</t>
  </si>
  <si>
    <t xml:space="preserve">2019   Determination of multipool contributions to endogenous amide proton transfer effects in global ischemia with high spectral resolution in vivo chemical exchange saturation transfer MRI.</t>
  </si>
  <si>
    <t xml:space="preserve">… and 62 older titles, not shown</t>
  </si>
  <si>
    <t xml:space="preserve">Joseph Bishop   ·   MD</t>
  </si>
  <si>
    <t xml:space="preserve">jbishop@emory.edu</t>
  </si>
  <si>
    <t xml:space="preserve">2026   The TREM2 R47H variant is associated with liver-plasma-brain axis dyshomeostasis in the 5xFAD mouse model of Alzheimer's disease.</t>
  </si>
  <si>
    <t xml:space="preserve">Nicole Carlson   ·   PhD, CNM, FACNM, FAAN</t>
  </si>
  <si>
    <t xml:space="preserve">nicole.carlson@emory.edu</t>
  </si>
  <si>
    <t xml:space="preserve">https://www.nursing.emory.edu/faculty-staff/nicole-carlson</t>
  </si>
  <si>
    <t xml:space="preserve">Biologic Mechanisms of Labor Dysfunction: A Systems Biology Approach</t>
  </si>
  <si>
    <t xml:space="preserve">Titles (64)</t>
  </si>
  <si>
    <t xml:space="preserve">2026   Lipidomics of prolonged labor duration in African American birthing people</t>
  </si>
  <si>
    <t xml:space="preserve">2026   Maternal Mental Health and Labor Dysfunction: Prenatal Posttraumatic Stress Disorder, Labor Dystocia, and Unplanned Cesarean in a Cohort of Black Pregnant People.</t>
  </si>
  <si>
    <t xml:space="preserve">2025   A Scoping Review of Studies Reporting Heart Rate Variability Measurement Among Pregnant and Postpartum People Using Wearable Technology.</t>
  </si>
  <si>
    <t xml:space="preserve">2025   Childhood Maltreatment, Labor Duration, and Intrapartum Synthetic Oxytocin Dose and Duration: A Potential Oxytocin-Linked Contributor to Labor Outcomes in Black Birthing People.</t>
  </si>
  <si>
    <t xml:space="preserve">2024   Characterizing uterine responsiveness to oxytocin augmentation across four labor patterns in maternal obesity</t>
  </si>
  <si>
    <t xml:space="preserve">2024   Associations between TCA cycle plasma metabolites and fatigue in black females with systemic lupus erythematosus: An untargeted metabolomics pilot study.</t>
  </si>
  <si>
    <t xml:space="preserve">2023   Disparities by race/ethnicity in unplanned cesarean birth among healthy nulliparas: a secondary analysis of the nuMoM2b dataset</t>
  </si>
  <si>
    <t xml:space="preserve">2023   The Relationship Between Uterine Activity, Oxytocin Dosing, Labor Progress, and Mode of Birth in Nulliparas with Obesity: Minimal Usefulness of Montevideo Unit Measurement.</t>
  </si>
  <si>
    <t xml:space="preserve">2023   Metabolic pathways associated with multi‐morbidity among Black caregivers of persons living with dementia</t>
  </si>
  <si>
    <t xml:space="preserve">2022   Maternal Morbidity Predicted by an Intersectional Social Determinants of Health Phenotype: A Secondary Analysis of the NuMoM2b Dataset</t>
  </si>
  <si>
    <t xml:space="preserve">2022   Adaptation of Metabolomics and Microbiomic Research Protocols During the COVID-19 Pandemic</t>
  </si>
  <si>
    <t xml:space="preserve">2022   Innovations in Prospective Perinatal Research as a Result Of the COVID-19 Pandemic.</t>
  </si>
  <si>
    <t xml:space="preserve">2021   The Convergence of COVID‐19 and Systemic Racism: An Evaluation of Current Evidence, Health System Changes, and Solutions Grounded in Reproductive Justice</t>
  </si>
  <si>
    <t xml:space="preserve">2021   Induction of labor or expectant management? Birth outcomes for nulliparous individuals choosing midwifery care</t>
  </si>
  <si>
    <t xml:space="preserve">2021   Review of Evidence-Based Methods for Successful Labor Induction.</t>
  </si>
  <si>
    <t xml:space="preserve">2021   Challenges in the Triage Care of Low-Risk Laboring Patients: A Comparison of 2 Models of Practice.</t>
  </si>
  <si>
    <t xml:space="preserve">2021   Physical Activity During Pregnancy: Guidelines Versus Adherence</t>
  </si>
  <si>
    <t xml:space="preserve">2020   Using the Robson 10‐Group Classification System to Compare Cesarean Birth Utilization Between US Centers With and Without Midwives</t>
  </si>
  <si>
    <t xml:space="preserve">2020   Preventing Cesarean Birth in Women with Obesity: Influence of Unit‐Level Midwifery Presence on Use of Cesarean among Women in the Consortium on Safe Labor Data Set</t>
  </si>
  <si>
    <t xml:space="preserve">2020   Predicting Postpartum Hemorrhage After Vaginal Birth by Labor Phenotype</t>
  </si>
  <si>
    <t xml:space="preserve">2020   Outcomes of trial of labor after cesarean birth by provider type in low‐risk women</t>
  </si>
  <si>
    <t xml:space="preserve">2020   Metabolomic Pathways Predicting Labor Dystocia by Maternal Body Mass Index</t>
  </si>
  <si>
    <t xml:space="preserve">2020   Metabolic Pathways Associated With Term Labor Induction Course in African American Women</t>
  </si>
  <si>
    <t xml:space="preserve">2020   Metabolomics Research Conducted by Nurse Scientists: A Systematic Scoping Review.</t>
  </si>
  <si>
    <t xml:space="preserve">2020   The association between longer durations of the latent phase of labor and subsequent perinatal processes and outcomes among midwifery patients.</t>
  </si>
  <si>
    <t xml:space="preserve">2019   Midwifery presence in United States medical centers and labor care and birth outcomes among low‐risk nulliparous women: A Consortium on Safe Labor study</t>
  </si>
  <si>
    <t xml:space="preserve">2019   Influence of midwifery presence in United States centers on labor care and outcomes of low‐risk parous women: A Consortium on Safe Labor study</t>
  </si>
  <si>
    <t xml:space="preserve">2019   Influence of Maternal Obesity on Labor Induction: A Systematic Review and Meta‐Analysis</t>
  </si>
  <si>
    <t xml:space="preserve">2018   Association between provider type and cesarean birth in healthy nulliparous laboring women: A retrospective cohort study</t>
  </si>
  <si>
    <t xml:space="preserve">2018   Applying a physiologic partograph to Consortium on Safe Labor data to identify opportunities for safely decreasing cesarean births among nulliparous women</t>
  </si>
  <si>
    <t xml:space="preserve">2018   Antepartum Care of Women Who Are Obese During Pregnancy: Systematic Review of the Current Evidence</t>
  </si>
  <si>
    <t xml:space="preserve">2017   Utilizing Datasets to Advance Perinatal Research</t>
  </si>
  <si>
    <t xml:space="preserve">2017   The Maternal Infant Microbiome: Considerations for Labor and Birth</t>
  </si>
  <si>
    <t xml:space="preserve">2017   Oxytocin Augmentation in Spontaneously Laboring, Nulliparous Women: Multilevel Assessment of Maternal BMI and Oxytocin Dose</t>
  </si>
  <si>
    <t xml:space="preserve">2017   Labor Intervention and Outcomes in Women Who Are Nulliparous and Obese: Comparison of Nurse-Midwife to Obstetrician Intrapartum Care</t>
  </si>
  <si>
    <t xml:space="preserve">2017   Current Resources for Evidence-Based Practice, September/October 2017</t>
  </si>
  <si>
    <t xml:space="preserve">2017   Current Resources for Evidence-Based Practice, November/December 2017</t>
  </si>
  <si>
    <t xml:space="preserve">2017   Current Resources for Evidence-Based Practice, May/June 2017</t>
  </si>
  <si>
    <t xml:space="preserve">2017   Current Resources for Evidence-Based Practice, March/April 2017</t>
  </si>
  <si>
    <t xml:space="preserve">2017   Current Resources for Evidence-Based Practice, July/August 2017</t>
  </si>
  <si>
    <t xml:space="preserve">2017   Current Resources for Evidence-Based Practice January/February 2017</t>
  </si>
  <si>
    <t xml:space="preserve">2016   From the Joanna Briggs Institute evidence-based practice database</t>
  </si>
  <si>
    <t xml:space="preserve">2016   From cochrane database of systematic reviews (CDSR), issue 12 (2015) and issue 1 (2016)</t>
  </si>
  <si>
    <t xml:space="preserve">2016   Evidence-based care for the obese childbearing woman</t>
  </si>
  <si>
    <t xml:space="preserve">2016   Current Resources for Evidence-Based Practice, September/October 2016</t>
  </si>
  <si>
    <t xml:space="preserve">2016   Current Resources for Evidence-Based Practice, November/December 2016</t>
  </si>
  <si>
    <t xml:space="preserve">2016   Current Resources for Evidence-Based Practice, May/June 2016</t>
  </si>
  <si>
    <t xml:space="preserve">2016   Current Resources for Evidence-Based Practice, March/April 2016</t>
  </si>
  <si>
    <t xml:space="preserve">2016   Current Resources for Evidence-Based Practice, July/August 2016</t>
  </si>
  <si>
    <t xml:space="preserve">2016   Current Resources for Evidence-Based Practice, January/February 2016</t>
  </si>
  <si>
    <t xml:space="preserve">2015   Parturition dysfunction in obesity: Time to target the pathobiology</t>
  </si>
  <si>
    <t xml:space="preserve">2015   Current Resources for Evidence‐Based Practice, May/June 2015</t>
  </si>
  <si>
    <t xml:space="preserve">2015   Current Resources for Evidence-Based Practice, November/December 2015</t>
  </si>
  <si>
    <t xml:space="preserve">2015   Current Resources for Evidence-Based Practice, March/April 2015</t>
  </si>
  <si>
    <t xml:space="preserve">2015   Current Resources for Evidence-Based Practice, July/August 2015</t>
  </si>
  <si>
    <t xml:space="preserve">2015   Current Resources for Evidence-Based Practice, January/February 2015</t>
  </si>
  <si>
    <t xml:space="preserve">2015   Current Resources for Evidence-Based Practice September/October 2015</t>
  </si>
  <si>
    <t xml:space="preserve">2014   Intrapartum Management Associated with Obesity in Nulliparous Women</t>
  </si>
  <si>
    <t xml:space="preserve">2014   Current Resources for Evidence-Based Practice, September/October 2014</t>
  </si>
  <si>
    <t xml:space="preserve">2014   Current Resources for Evidence-Based Practice, November/December 2014</t>
  </si>
  <si>
    <t xml:space="preserve">… and 4 older titles, not shown</t>
  </si>
  <si>
    <t xml:space="preserve">Lindsay Kibuyaga   ·   MD; MPH; BA</t>
  </si>
  <si>
    <t xml:space="preserve">lkibuya@emory.edu</t>
  </si>
  <si>
    <t xml:space="preserve">https://www.choa.org/doctors/lindsay-susanne-kibuyaga</t>
  </si>
  <si>
    <t xml:space="preserve">Medical School:Emory University School of MedicineResidency:Emory University School of Medicine Childrens Physician Group - Emergency Medicine Arthur M.</t>
  </si>
  <si>
    <t xml:space="preserve">Teresa B. Ades   ·   DNP, FNP-BC, AOCN</t>
  </si>
  <si>
    <t xml:space="preserve">tades@emory.edu</t>
  </si>
  <si>
    <t xml:space="preserve">2021   An Expert Consensus Study for Informed Consent in Primary Breast Augmentation Surgery.</t>
  </si>
  <si>
    <t xml:space="preserve">2020   Attitudes, Beliefs, and Practices of Aesthetic Plastic Surgeons Regarding Informed Consent.</t>
  </si>
  <si>
    <t xml:space="preserve">2001   PC-SPES: current evidence and remaining questions.</t>
  </si>
  <si>
    <t xml:space="preserve">Michelle Sheng   ·   MD</t>
  </si>
  <si>
    <t xml:space="preserve">msheng3@emory.edu</t>
  </si>
  <si>
    <t xml:space="preserve">https://med.emory.edu/directory/profile/?u=MSHENG3</t>
  </si>
  <si>
    <t xml:space="preserve">Michelle Sheng received her MD degree from Sidney Kimmel Medical College at Thomas Jefferson University (2018). Her postgraduate medical training includes a General Surgery Residency (2019) and a Urology residency, both here at Emory University School of Medicine (2023). Her primary clinical focus is general urology, particularly surgical management of kidney stone disease, erectile dysfunction, benign prostatic hyperplasia (BPH), and localized kidney/prostate cancer, with the assistance of endourologic and minimally invasive techniques. She serves as a clinical urologist in the General &amp; Community Urology Division of Emory’s Department of Urology and is based primarily at Emory Johns Creek Hospital and Emory Saint Joseph’s Hospital.</t>
  </si>
  <si>
    <t xml:space="preserve">2024   The diagnostic challenges of differentiating metastatic extramammary Paget disease and prostatic adenocarcinoma: A case report and review of the literature.</t>
  </si>
  <si>
    <t xml:space="preserve">2023   Needs and Experiences of United States Female Urology Residents.</t>
  </si>
  <si>
    <t xml:space="preserve">Yih-Ling Tzeng   ·   PhD; BS</t>
  </si>
  <si>
    <t xml:space="preserve">ytzeng@emory.edu</t>
  </si>
  <si>
    <t xml:space="preserve">https://med.emory.edu/directory/profile/?u=YTZENG</t>
  </si>
  <si>
    <t xml:space="preserve">The long-term goal of my research is to elucidate the regulatory mechanisms of virulence determinants in meningococcal pathogenesis and understand the signal transduction pathways by which meningococci sense and interact with the host. By directly studying these issues, my group continues to provide a fuller knowledge base for the development of vaccine strategies and therapeutic interventions. Currently, we focus on a novel two-component signal transduction system shown to be a global regulator mediating the expression of meningococcal virulence determinants including the structural modification of endotoxin, iron uptake and assimilation, and protein folding machinery. Using genetic, biochemical and molecular biological strategies we hope to provide not only a broad view of the regulatory scope of this important signal transduction system, but also a detailed understanding of both the molecular regulatory mechanisms and the interaction of this network with other regulatory control of gene expression. Furthermore, efforts are also focused on identifying the host signal that activates this two-component regulatory system. Participates in the teaching, administrative activities and conference of the Division of Infectious Diseases including lectures, interviews, journal club, case of the week and research seminars.</t>
  </si>
  <si>
    <t xml:space="preserve">Titles (60)</t>
  </si>
  <si>
    <t xml:space="preserve">2026   Genomic Typing of Meningococcal Carriage Isolates in an Urban Sexual Health Clinic.</t>
  </si>
  <si>
    <t xml:space="preserve">2025   The Neisseria meningitidis Urethritis Clade (NmUC) Acts as a "Chimeric Pathogen" During Infection of Primary, Human Male, Urethral Epithelial Cells.</t>
  </si>
  <si>
    <t xml:space="preserve">2025   Progression of antibiotic resistance in Neisseria meningitidis .</t>
  </si>
  <si>
    <t xml:space="preserve">2025   Contribution of the gonococcal NEIS1446-ispD gene conversion to the pathobiology of the Neisseria meningitidis urethritis clade, Nm UC.</t>
  </si>
  <si>
    <t xml:space="preserve">2024   Ultrastructural, metabolic and genetic characteristics of determinants facilitating the acquisition of macrolide resistance by Streptococcus pneumoniae.</t>
  </si>
  <si>
    <t xml:space="preserve">2024   NHBA antibodies elicited by 4CMenB vaccination are key for serum bactericidal activity against Neisseria gonorrhoeae.</t>
  </si>
  <si>
    <t xml:space="preserve">2024   Neisseria gonorrhoeae lipooligosaccharide glycan epitopes recognized by bactericidal IgG antibodies elicited by the meningococcal group B-directed vaccine, MenB-4C.</t>
  </si>
  <si>
    <t xml:space="preserve">2023   Dissemination of Tn 916 -Related Integrative and Conjugative Elements in Streptococcus pneumoniae Occurs by Transformation and Homologous Recombination in Nasopharyngeal Biofilms.</t>
  </si>
  <si>
    <t xml:space="preserve">2023   Continuing genomic evolution of the Neisseria meningitidis cc11.2 urethritis clade, Nm UC: a narrative review.</t>
  </si>
  <si>
    <t xml:space="preserve">2023   Antibiotic Susceptibility Profile for the US Neisseria meningitidis Urethritis Clade.</t>
  </si>
  <si>
    <t xml:space="preserve">2023   Acquisition of Gonococcal AniA-NorB Pathway by the Neisseria meningitidis Urethritis Clade Confers Denitrifying and Microaerobic Respiration Advantages for Urogenital Adaptation.</t>
  </si>
  <si>
    <t xml:space="preserve">2022   Rapid, label-free antibiotic susceptibility determined directly from positive blood culture.</t>
  </si>
  <si>
    <t xml:space="preserve">2022   Infection With the US Neisseria meningitidis Urethritis Clade Does Not Lower Future Risk of Urethral Gonorrhea.</t>
  </si>
  <si>
    <t xml:space="preserve">2022   Faculty Opinions recommendation of WGS of commensal neisseria reveals acquisition of a new ribosomal protection protein (msrd) as a possible explanation for high level azithromycin resistance in belgium.</t>
  </si>
  <si>
    <t xml:space="preserve">2022   Faculty Opinions recommendation of The acquisition of clinically relevant amoxicillin resistance in Streptococcus pneumoniae requires ordered horizontal gene transfer of four loci.</t>
  </si>
  <si>
    <t xml:space="preserve">2022   Faculty Opinions recommendation of Synergistic activity of antibodies in the multicomponent 4CMenB vaccine.</t>
  </si>
  <si>
    <t xml:space="preserve">2022   Faculty Opinions recommendation of Neisseria species as pathobionts in bronchiectasis.</t>
  </si>
  <si>
    <t xml:space="preserve">2022   Faculty Opinions recommendation of Genome-wide association studies reveal the role of polymorphisms affecting factor H binding protein expression in host invasion by Neisseria meningitidis.</t>
  </si>
  <si>
    <t xml:space="preserve">2022   Faculty Opinions recommendation of Effectiveness of a serogroup B outer membrane vesicle meningococcal vaccine against gonorrhoea: a retrospective observational study.</t>
  </si>
  <si>
    <t xml:space="preserve">2022   Faculty Opinions recommendation of Cas11 enables genome engineering in human cells with compact CRISPR-Cas3 systems.</t>
  </si>
  <si>
    <t xml:space="preserve">2021   Faculty Opinions recommendation of Unbiased homeologous recombination during pneumococcal transformation allows for multiple chromosomal integration events.</t>
  </si>
  <si>
    <t xml:space="preserve">2021   Faculty Opinions recommendation of The serogroup B meningococcal outer membrane vesicle-based vaccine 4CMenB induces cross-species protection against Neisseria gonorrhoeae .</t>
  </si>
  <si>
    <t xml:space="preserve">2021   Faculty Opinions recommendation of The Lst Sialyltransferase of Neisseria gonorrhoeae Can Transfer Keto-Deoxyoctanoate as the Terminal Sugar of Lipooligosaccharide: a Glyco-Achilles Heel That Provides a New Strategy for Vaccines to Prevent Gonorrhea.</t>
  </si>
  <si>
    <t xml:space="preserve">2021   Faculty Opinions recommendation of Changes in the incidence of invasive disease due to Streptococcus pneumoniae, Haemophilus influenzae, and Neisseria meningitidis during the COVID-19 pandemic in 26 countries and territories in the Invasive Respiratory Infection Surveillance Initiative: a prospective analysis of surveillance data.</t>
  </si>
  <si>
    <t xml:space="preserve">2021   A Narrative Review of the W, X, Y, E, and NG of Meningococcal Disease: Emerging Capsular Groups, Pathotypes, and Global Control.</t>
  </si>
  <si>
    <t xml:space="preserve">2020   Neisseria meningitidis Urethritis Outbreak Isolates Express a Novel Factor H Binding Protein Variant That Is a Potential Target of Group B-Directed Meningococcal (MenB) Vaccines.</t>
  </si>
  <si>
    <t xml:space="preserve">2020   Faculty Opinions recommendation of Repurposed Drugs That Block the Gonococcus-Complement Receptor 3 Interaction Can Prevent and Cure Gonococcal Infection of Primary Human Cervical Epithelial Cells.</t>
  </si>
  <si>
    <t xml:space="preserve">2020   Faculty Opinions recommendation of Adaptation to the cervical environment is associated with increased antibiotic susceptibility in Neisseria gonorrhoeae.</t>
  </si>
  <si>
    <t xml:space="preserve">2019   Heteroresistance to the model antimicrobial peptide polymyxin B in the emerging Neisseria meningitidis lineage 11.2 urethritis clade: mutations in the pilMNOPQ operon.</t>
  </si>
  <si>
    <t xml:space="preserve">2019   Faculty Opinions recommendation of Neisseria gonorrhoeae MlaA influences gonococcal virulence and membrane vesicle production.</t>
  </si>
  <si>
    <t xml:space="preserve">2019   Faculty Opinions recommendation of HtrA-mediated selective degradation of DNA uptake apparatus accelerates termination of pneumococcal transformation.</t>
  </si>
  <si>
    <t xml:space="preserve">2019   Faculty Opinions recommendation of A Meningococcal Outer Membrane Vesicle Vaccine with Overexpressed Mutant FHbp Elicits Higher Protective Antibody Responses in Infant Rhesus Macaques than a Licensed Serogroup B Vaccine.</t>
  </si>
  <si>
    <t xml:space="preserve">2019   Author Correction: A CRISPR/Cas system mediates bacterial innate immune evasion and virulence.</t>
  </si>
  <si>
    <t xml:space="preserve">2019   420. Prevalence of Oropharyngeal Meningococcal Carriage in an Urban STD Clinic</t>
  </si>
  <si>
    <t xml:space="preserve">2018   FAST: Rapid determinations of antibiotic susceptibility phenotypes using label-free cytometry.</t>
  </si>
  <si>
    <t xml:space="preserve">2018   Faculty Opinions recommendation of Azithromycin Resistance through Interspecific Acquisition of an Epistasis-Dependent Efflux Pump Component and Transcriptional Regulator in Neisseria gonorrhoeae.</t>
  </si>
  <si>
    <t xml:space="preserve">2018   Expansion of a urethritis-associated Neisseria meningitidis clade in the United States with concurrent acquisition of N. gonorrhoeae alleles.</t>
  </si>
  <si>
    <t xml:space="preserve">2017   Large Cluster of Neisseria meningitidis Urethritis in Columbus, Ohio, 2015.</t>
  </si>
  <si>
    <t xml:space="preserve">2017   Faculty Opinions recommendation of Temperature triggers immune evasion by Neisseria meningitidis.</t>
  </si>
  <si>
    <t xml:space="preserve">2017   Faculty Opinions recommendation of Naturally Occurring Off-Switches for CRISPR-Cas9.</t>
  </si>
  <si>
    <t xml:space="preserve">2017   Faculty Opinions recommendation of Host cell-derived lactate functions as an effector molecule in Neisseria meningitidis microcolony dispersal.</t>
  </si>
  <si>
    <t xml:space="preserve">2017   Emergence of a new Neisseria meningitidis clonal complex 11 lineage 11.2 clade as an effective urogenital pathogen.</t>
  </si>
  <si>
    <t xml:space="preserve">2016   Regulation of capsule in Neisseria meningitidis.</t>
  </si>
  <si>
    <t xml:space="preserve">2016   Notes from the Field: Increase in Neisseria meningitidis-Associated Urethritis Among Men at Two Sentinel Clinics - Columbus, Ohio, and Oakland County, Michigan, 2015.</t>
  </si>
  <si>
    <t xml:space="preserve">2015   Rapid Cytometric Antibiotic Susceptibility Testing Utilizing Adaptive Multidimensional Statistical Metrics</t>
  </si>
  <si>
    <t xml:space="preserve">2015   Antimicrobial peptide resistance in Neisseria meningitidis.</t>
  </si>
  <si>
    <t xml:space="preserve">2012   The Neisseria meningitidis ZnuD Zinc Receptor Contributes to Interactions with Epithelial Cells and Supports Heme Utilization when Expressed in Escherichia coli</t>
  </si>
  <si>
    <t xml:space="preserve">2010   Regulatory Role of the MisR/S Two-Component System in Hemoglobin Utilization in Neisseria meningitidis</t>
  </si>
  <si>
    <t xml:space="preserve">2009   Regulation of the type I protein secretion system by the MisR/MisS two-component system in Neisseria meningitidis.</t>
  </si>
  <si>
    <t xml:space="preserve">2009   A unique sensor histidine kinase.</t>
  </si>
  <si>
    <t xml:space="preserve">2008   Oligonucleotide-Stabilized Ag Nanocluster Fluorophores</t>
  </si>
  <si>
    <t xml:space="preserve">2008   MisR/MisS two-component regulon in Neisseria meningitidis.</t>
  </si>
  <si>
    <t xml:space="preserve">2006   Autoregulation of the MisR/MisS two-component signal transduction system in Neisseria meningitidis.</t>
  </si>
  <si>
    <t xml:space="preserve">2005   Translocation and surface expression of lipidated serogroup B capsular Polysaccharide in Neisseria meningitidis.</t>
  </si>
  <si>
    <t xml:space="preserve">2005   CspA Regulates Pigment Production in Staphylococcus aureus through a SigB-Dependent Mechanism</t>
  </si>
  <si>
    <t xml:space="preserve">2004   The MisR/MisS two-component regulatory system influences inner core structure and immunotype of lipooligosaccharide in Neisseria meningitidis.</t>
  </si>
  <si>
    <t xml:space="preserve">2003   Genetic basis for biosynthesis of the (alpha 1--&gt;4)-linked N-acetyl-D-glucosamine 1-phosphate capsule of Neisseria meningitidis serogroup X.</t>
  </si>
  <si>
    <t xml:space="preserve">2002   KpsF is the arabinose-5-phosphate isomerase required for 3-deoxy-D-manno-octulosonic acid biosynthesis and for both lipooligosaccharide assembly and capsular polysaccharide expression in Neisseria meningitidis.</t>
  </si>
  <si>
    <t xml:space="preserve">2002   Endotoxin of Neisseria meningitidis composed only of intact lipid A: inactivation of the meningococcal 3-deoxy-D-manno-octulosonic acid transferase.</t>
  </si>
  <si>
    <t xml:space="preserve">2001   Polymorphisms in Pilin Glycosylation Locus of Neisseria meningitidis Expressing Class II Pili</t>
  </si>
  <si>
    <t xml:space="preserve">jguo4@emory.edu</t>
  </si>
  <si>
    <t xml:space="preserve">Titles (18)</t>
  </si>
  <si>
    <t xml:space="preserve">2025   Neural connectivity of oxytocin receptor-expressing neurons in the nucleus accumbens and their role in social attachment.</t>
  </si>
  <si>
    <t xml:space="preserve">2024   Social experience in adolescence shapes prefrontal cortex structure and function in adulthood.</t>
  </si>
  <si>
    <t xml:space="preserve">2024   Neuronal Ensembles in the Amygdala Allow Social Information to Motivate Later Decisions.</t>
  </si>
  <si>
    <t xml:space="preserve">2023   Developmental pyrethroid exposure causes a neurodevelopmental disorder phenotype in mice.</t>
  </si>
  <si>
    <t xml:space="preserve">2022   Ghrelin infusion into the basolateral amygdala suppresses CTA memory formation in rats via the PI3K/Akt/mTOR and PLC/PKC signaling pathways.</t>
  </si>
  <si>
    <t xml:space="preserve">2022   Social experience alters oxytocinergic modulation in the nucleus accumbens of female prairie voles.</t>
  </si>
  <si>
    <t xml:space="preserve">2022   Social incentivization of instrumental choice in mice requires amygdala-prelimbic cortex-nucleus accumbens connectivity.</t>
  </si>
  <si>
    <t xml:space="preserve">2021   Incerto-thalamic modulation of fear via GABA and dopamine.</t>
  </si>
  <si>
    <t xml:space="preserve">2020   Urokinase-Type Plasminogen Activator Protects Cerebral Cortical Neurons from Soluble Aβ-Induced Synaptic Damage.</t>
  </si>
  <si>
    <t xml:space="preserve">2019   Chronic stress induces cell type-selective transcriptomic and electrophysiological changes in the bed nucleus of the stria terminalis.</t>
  </si>
  <si>
    <t xml:space="preserve">2019   Modulation of fear generalization by the zona incerta.</t>
  </si>
  <si>
    <t xml:space="preserve">2019   Rho-kinase inhibition has antidepressant-like efficacy and expedites dendritic spine pruning in adolescent mice.</t>
  </si>
  <si>
    <t xml:space="preserve">2017   Serotonin gating of cortical and thalamic glutamate inputs onto principal neurons of the basolateral amygdala.</t>
  </si>
  <si>
    <t xml:space="preserve">2017   A comparative analysis of the physiological properties of neurons in the anterolateral bed nucleus of the stria terminalis in the Mus musculus, Rattus norvegicus, and Macaca mulatta.</t>
  </si>
  <si>
    <t xml:space="preserve">2016   Molecular characterization of Thy1 expressing fear-inhibiting neurons within the basolateral amygdala.</t>
  </si>
  <si>
    <t xml:space="preserve">2016   Amygdala-Dependent Molecular Mechanisms of the Tac2 Pathway in Fear Learning.</t>
  </si>
  <si>
    <t xml:space="preserve">2016   Oxytocin in the nucleus accumbens shell reverses CRFR2-evoked passive stress-coping after partner loss in monogamous male prairie voles.</t>
  </si>
  <si>
    <t xml:space="preserve">2015   BAI1 regulates spatial learning and synaptic plasticity in the hippocampus.</t>
  </si>
  <si>
    <t xml:space="preserve">Cinnamon Sullivan   ·   MD; BA</t>
  </si>
  <si>
    <t xml:space="preserve">clsulli@emory.edu</t>
  </si>
  <si>
    <t xml:space="preserve">https://med.emory.edu/directory/profile/?u=CLSULLI</t>
  </si>
  <si>
    <t xml:space="preserve">Dr. Cinnamon Sullivan is the Director of Transplant Anesthesiology and Chair of the Perioperative Disaster Preparedness Committee. Her clinical expertise and research interests include perioperative care of end-stage liver disease patients, extubation post liver transplant, and anesthetic implications of mass biochemical incidents.</t>
  </si>
  <si>
    <t xml:space="preserve">Titles (7)</t>
  </si>
  <si>
    <t xml:space="preserve">2026   Introduction to Transplant Anesthesia</t>
  </si>
  <si>
    <t xml:space="preserve">2023   Pre-operative Evaluation and Management</t>
  </si>
  <si>
    <t xml:space="preserve">2023   Anesthesiology</t>
  </si>
  <si>
    <t xml:space="preserve">2022   Perioperative management of living donor liver transplantation: Part 2 - Donors.</t>
  </si>
  <si>
    <t xml:space="preserve">2022   Adult liver transplant anesthesiology practice patterns and resource utilization in the United States: Survey results from the society for the advancement of transplant anesthesia.</t>
  </si>
  <si>
    <t xml:space="preserve">2018   Anesthetic and Perioperative Considerations in Liver Disease (Non-Transplant)</t>
  </si>
  <si>
    <t xml:space="preserve">2014   Designing an ethics curriculum to support global health experiences in surgery.</t>
  </si>
  <si>
    <t xml:space="preserve">James Thornton   ·   MMSc; CAA</t>
  </si>
  <si>
    <t xml:space="preserve">jhthorn@emory.edu</t>
  </si>
  <si>
    <t xml:space="preserve">2001   Results of Immediate Breast Reconstruction After Skin-Sparing Mastectomy</t>
  </si>
  <si>
    <t xml:space="preserve">aooyenu@emory.edu</t>
  </si>
  <si>
    <t xml:space="preserve">2024   Association of Left Atrial Function With Incident Chronic Kidney Disease in Older Adults.</t>
  </si>
  <si>
    <t xml:space="preserve">2022   Neonatal Jaundice: Knowledge and Practices of Healthcare Providers and Trainees in Southwest Nigeria.</t>
  </si>
  <si>
    <t xml:space="preserve">Shruti Bhatt   ·   PhD</t>
  </si>
  <si>
    <t xml:space="preserve">shruti.bhatt@emory.edu</t>
  </si>
  <si>
    <t xml:space="preserve">Targeting non-genetic and genetic mechanisms to overcome drug resistance in acute myeloid leukemia</t>
  </si>
  <si>
    <t xml:space="preserve">2025   Heme promotes venetoclax resistance in multiple myeloma through MEK-ERK signaling and purine biosynthesis</t>
  </si>
  <si>
    <t xml:space="preserve">2025   TP53 mutations drive therapy resistance via post-mitochondrial caspase blockade</t>
  </si>
  <si>
    <t xml:space="preserve">2025   Pandora's Box of AML: How TP53 Mutations Defy Therapy and Hint at New Hope</t>
  </si>
  <si>
    <t xml:space="preserve">2025   The BIM deletion polymorphism potentiates the survival of leukemia stem and progenitor cells and impairs response to targeted therapies</t>
  </si>
  <si>
    <t xml:space="preserve">2025   Protocol for the simultaneous activation and lentiviral transduction of primary human T cells with artificial T cell receptors</t>
  </si>
  <si>
    <t xml:space="preserve">2024   Mitochondria and Acute Leukemia: A Clinician's Perspective</t>
  </si>
  <si>
    <t xml:space="preserve">2024   TP53 Mutation-Mediated Immune Evasion in Cancer: Mechanisms and Therapeutic Implications</t>
  </si>
  <si>
    <t xml:space="preserve">2024   Therapeutic biomarkers in acute myeloid leukemia: functional and genomic approaches.</t>
  </si>
  <si>
    <t xml:space="preserve">2024   Altered RNA export by SF3B1 mutants confers sensitivity to nuclear export inhibition.</t>
  </si>
  <si>
    <t xml:space="preserve">2024   Acquired Multidrug Resistance in AML Is Caused by Low Apoptotic Priming in Relapsed Myeloblasts.</t>
  </si>
  <si>
    <t xml:space="preserve">2024   Decoding Acute Myeloid Leukemia: A Clinician's Guide to Functional Profiling.</t>
  </si>
  <si>
    <t xml:space="preserve">2023   PPM1D modulates hematopoietic cell fitness and response to DNA damage and is a therapeutic target in myeloid malignancy.</t>
  </si>
  <si>
    <t xml:space="preserve">2023   CALR-mutated cells are vulnerable to combined inhibition of the proteasome and the endoplasmic reticulum stress response</t>
  </si>
  <si>
    <t xml:space="preserve">2023   BH3 profiling identifies BCL-2 dependence in adult patients with early T-cell progenitor acute lymphoblastic leukemia.</t>
  </si>
  <si>
    <t xml:space="preserve">2022   Combination therapy targeting Erk1/2 and CDK4/6i in relapsed refractory multiple myeloma.</t>
  </si>
  <si>
    <t xml:space="preserve">2021   Dynamic BH3 profiling method for rapid identification of active therapy in BH3 mimetics resistant xenograft mouse models.</t>
  </si>
  <si>
    <t xml:space="preserve">2020   Reduced Mitochondrial Apoptotic Priming Drives Resistance to BH3 Mimetics in Acute Myeloid Leukemia.</t>
  </si>
  <si>
    <t xml:space="preserve">2020   Increased mitochondrial apoptotic priming with targeted therapy predicts clinical response to re‐induction chemotherapy</t>
  </si>
  <si>
    <t xml:space="preserve">2019   Patterns of substrate affinity, competition, and degradation kinetics underlie biological activity of thalidomide analogs.</t>
  </si>
  <si>
    <t xml:space="preserve">2018   Statins enhance efficacy of venetoclax in blood cancers.</t>
  </si>
  <si>
    <t xml:space="preserve">2018   PPM1D truncating mutations confer resistance to chemotherapy and sensitivity to PPM1D inhibition in hematopoietic cells.</t>
  </si>
  <si>
    <t xml:space="preserve">2017   Interleukin 21 – its potential role in the therapy of B-cell lymphomas</t>
  </si>
  <si>
    <t xml:space="preserve">2017   Inhibition of USP10 induces degradation of oncogenic FLT3.</t>
  </si>
  <si>
    <t xml:space="preserve">2017   Anti-CD20-interleukin-21 fusokine targets malignant B cells via direct apoptosis and NK-cell–dependent cytotoxicity</t>
  </si>
  <si>
    <t xml:space="preserve">2016   Pathophysiological significance and therapeutic targeting of germinal center kinase in diffuse large B-cell lymphoma.</t>
  </si>
  <si>
    <t xml:space="preserve">2016   miR-181a negatively regulates NF-κB signaling and affects activated B-cell–like diffuse large B-cell lymphoma pathogenesis</t>
  </si>
  <si>
    <t xml:space="preserve">2015   Direct and immune-mediated cytotoxicity of interleukin-21 contributes to antitumor effects in mantle cell lymphoma.</t>
  </si>
  <si>
    <t xml:space="preserve">2015   Chlamydophila psittaci-negative ocular adnexal marginal zone lymphomas express self polyreactive B-cell receptors.</t>
  </si>
  <si>
    <t xml:space="preserve">2013   Efficacious proteasome/HDAC inhibitor combination therapy for primary effusion lymphoma.</t>
  </si>
  <si>
    <t xml:space="preserve">2013   CD30 targeting with brentuximab vedotin: a novel therapeutic approach to primary effusion lymphoma.</t>
  </si>
  <si>
    <t xml:space="preserve">2012   Identification of LMO2 transcriptome and interactome in diffuse large B-cell lymphoma.</t>
  </si>
  <si>
    <t xml:space="preserve">2011   miR-155 regulates HGAL expression and increases lymphoma cell motility.</t>
  </si>
  <si>
    <t xml:space="preserve">2010   Efficacy of bortezomib in a direct xenograft model of primary effusion lymphoma.</t>
  </si>
  <si>
    <t xml:space="preserve">Decoding Acute Myeloid Leukemia: A Clinician's Guide to Functional Profiling. (Diagnostics (Basel, Switzerland) + 2024)</t>
  </si>
  <si>
    <t xml:space="preserve">Andrew Furman   ·   MD; BA</t>
  </si>
  <si>
    <t xml:space="preserve">afurman@emory.edu</t>
  </si>
  <si>
    <t xml:space="preserve">https://www.emoryhealthcare.org/providers/andrew-c-furman-779932</t>
  </si>
  <si>
    <t xml:space="preserve">Dr. Furman received his Bachelor of Arts from Williams College, majoring in Religion and the History of Ideas, and his Doctor of Medicine from the Emory University School of Medicine. He did his internship in internal medicine at the University of Washington and his psychiatric residency at Emory, culminating in a chief residency at the Grady Health System. Dr. Furman is a psychiatrist and psychoanalyst, as well as a small group advisor in the Emory School of Medicine. He teaches extensively in the School of Medicine- both medical students and psychiatric residents, as well as in the Leadership Development Program of the Goizueta Business School of Emory University and in the Emory University Psychoanalytic Institute. Additionally, he is an affiliated faculty member of the Department of Comparative Literature in Emory College and the Psychoanalytic Studies Program of the Laney Graduate School of Emory University. Scholarly interests include the use of the humanities in medical and health education, the development of the medical professional, and psychotherapy and psychoanalytic pedagogy. Emory Clinic - School of Medicine Faculty http://psychiatry.emory.edu/faculty/furman_andrew.html</t>
  </si>
  <si>
    <t xml:space="preserve">2018   Commentary on Excerpts From “The Purloined Letter”</t>
  </si>
  <si>
    <t xml:space="preserve">2018   Capsule Commentary on Crapanzano et al., An Exploration of Residents' Implicit Biases Towards Depression-a Pilot Study.</t>
  </si>
  <si>
    <t xml:space="preserve">2017   On Medicine and Boundaries: Frost's Mending Wall.</t>
  </si>
  <si>
    <t xml:space="preserve">2017   Teaching Trauma and Narrative: Using Salinger's For Esmé-with Love and Squalor.</t>
  </si>
  <si>
    <t xml:space="preserve">2017   Humanities Revisited: Integrating the Humanities in Psychiatric Residency Training.</t>
  </si>
  <si>
    <t xml:space="preserve">2017   A Perfect Day for Bananafish: Learning the Imperfect Art of Predicting Suicide.</t>
  </si>
  <si>
    <t xml:space="preserve">Sonya Green   ·   PA-C</t>
  </si>
  <si>
    <t xml:space="preserve">sbgreen@emory.edu</t>
  </si>
  <si>
    <t xml:space="preserve">https://www.emoryhealthcare.org/providers/sonya-britting-green-1161553</t>
  </si>
  <si>
    <t xml:space="preserve">Sonya Green is a certifed physician assistant and Atlanta native with an undergraduate degree from Brown University obtained in 1994. She received her Master's degree from the Emory University Physician Assistant Program in 2003. Her professional career in health care began in 1995 at the Grady Infectious Disease Program as a health educator. She initially began her physician assistant career in cardiovascular medicine, then moved to primary care and HIV medicine in 2006. Since that time she has committed her career to primary care with a focus on a patient-centered care model. Sonya has a strong belief in partnering with her patients and empowering them to make informed healthcare decisions. It is the patient that she is most passionate about. In addition to her clinical practice and experience, Sonya has earned an array of health care leadership recognition and status. Beginning in 2011, she became the Director of Advanced Practice Providers at DeKalb Medical Center. She joined Emory Healthcare in 2018 and became a Chief of Advanced Practice Providers for Primary Care, Palliative Medicine and Geriatrics. Sonya also is adjunct faculty in the Emory Physician Assistant Program and serves as an Academic Society Leader. In 2019, she received the 'Physician Assistant of the Year' award from the Emory Healthcare Physician Assistant Program. Shortly after, Sonya was awarded Diamond Provider status within Emory for achieving the 99th percentile in Internal Medicine related to “Most Likely to be Recommended as a Care Provider” in 2021. Outside of medicine, Sonya enjoys spending time with her wife and two young children, hiking, gardening and cooking. https://med.emory.edu/pa/about_us/division/faculty_adjunct/green_sonya.html Emory at Decatur - Primary Care Scott Boulevard</t>
  </si>
  <si>
    <t xml:space="preserve">2024   Identifying Barriers to Precepting Health Professions Learners During the COVID-19 Pandemic.</t>
  </si>
  <si>
    <t xml:space="preserve">2003   Test-retest reliability of a complex human immunodeficiency virus research questionnaire administered by an Audio Computer-assisted Self-interviewing system.</t>
  </si>
  <si>
    <t xml:space="preserve">Thomas Dodson   ·   MD; BA</t>
  </si>
  <si>
    <t xml:space="preserve">tdods02@emory.edu</t>
  </si>
  <si>
    <t xml:space="preserve">https://med.emory.edu/directory/profile/?u=TDODS02</t>
  </si>
  <si>
    <t xml:space="preserve">Prior to enrolling in Emory's vascular surgery fellowship in 1987, Dr. Dodson was an assistant professor of surgery and coordinator of the third-year surgical clerkship at Harvard Medical School and associate director of the Surgical Intensive Care Unit at New England Deaconess Hospital. Upon completing his fellowship and joining our faculty, Dr. Dodson continued his involvement in surgical education. Dr. Dodson was appointed associate program director of the general surgery residency in 1991 and full director in 1997, a position he held until June 2011. His Department of Surgery leadership positions also included serving as vice chairman for education from 1996-2015, associate chairman from 2006-2015, and chief of the Emory division of vascular surgery and endovascular therapy from 2010-2015. Dr. Dodson has received numerous teaching and best doctor awards, served as president of the Georgia Surgical Society, and was a member of the Education Task Force of the American College of Surgeons.</t>
  </si>
  <si>
    <t xml:space="preserve">Titles (19)</t>
  </si>
  <si>
    <t xml:space="preserve">2023   From the Base of the Cecum to the Throne of England: King Edward VII's Appendix.</t>
  </si>
  <si>
    <t xml:space="preserve">2021   Heineke, Mikulicz, Jaboulay, and Finney: Innovators of Surgical Pyloroplasty.</t>
  </si>
  <si>
    <t xml:space="preserve">2020   Residents Behaving Badly: Pioneering Operations and the Surgical Trainees Who Performed Them.</t>
  </si>
  <si>
    <t xml:space="preserve">2019   Value of Dedicated Research Time for IMGs in Obtaining Surgical Residency Training Positions: A 10-Year Review of Applicants from a Medical College in Pakistan.</t>
  </si>
  <si>
    <t xml:space="preserve">2018   Proceedings of the American Association of Oral and Maxillofacial Surgeon's 2017 Clinical and Scientific Innovations in Oral and Maxillofacial Surgery (CSIOMS).</t>
  </si>
  <si>
    <t xml:space="preserve">2018   Deterrents to Organ Donation: A Multivariate Analysis of 766 Survey Respondents.</t>
  </si>
  <si>
    <t xml:space="preserve">2016   The Readmission Event after Vascular Surgery: Causes and Costs.</t>
  </si>
  <si>
    <t xml:space="preserve">2016   Proceedings of the American Association of Oral and Maxillofacial Surgeons 2015 Research Summit.</t>
  </si>
  <si>
    <t xml:space="preserve">2016   Gender and frailty predict poor outcomes in infrainguinal vascular surgery.</t>
  </si>
  <si>
    <t xml:space="preserve">2016   Improved trends in patient survival and decreased major complications after emergency ruptured abdominal aortic aneurysm repair.</t>
  </si>
  <si>
    <t xml:space="preserve">2015   Late mortality in females after endovascular aneurysm repair.</t>
  </si>
  <si>
    <t xml:space="preserve">2015   Smoking cessation is the least successful outcome of risk factor modification in uninsured patients with symptomatic peripheral arterial disease.</t>
  </si>
  <si>
    <t xml:space="preserve">2015   Influence of the hostile neck on restenosis after carotid stenting.</t>
  </si>
  <si>
    <t xml:space="preserve">2015   Carotid duplex criteria for patients with contralateral occlusion.</t>
  </si>
  <si>
    <t xml:space="preserve">2015   Carotid artery stenting has increased risk of external carotid artery occlusion compared with carotid endarterectomy.</t>
  </si>
  <si>
    <t xml:space="preserve">2015   Frailty increases the risk of 30-day mortality, morbidity, and failure to rescue after elective abdominal aortic aneurysm repair independent of age and comorbidities.</t>
  </si>
  <si>
    <t xml:space="preserve">2014   Invited commentary on Clostridium difficile increases the risk for venous thromboembolism.</t>
  </si>
  <si>
    <t xml:space="preserve">2014   Open repair of superior mesenteric artery mycotic aneurysm in an adolescent girl.</t>
  </si>
  <si>
    <t xml:space="preserve">2014   Anatomic characteristics of aortic transection: centerline analysis to facilitate graft selection.</t>
  </si>
  <si>
    <t xml:space="preserve">Kindell Schoffner   ·   PsyD</t>
  </si>
  <si>
    <t xml:space="preserve">kschoff@emory.edu</t>
  </si>
  <si>
    <t xml:space="preserve">https://www.choa.org/doctors/kindell-r-schoffner</t>
  </si>
  <si>
    <t xml:space="preserve">Doctor of Psychology School:Georgia School Professional Psychology (Argosy)Internship:Nationwide Childrens HospitalFellowship:Emory University School of Medicine</t>
  </si>
  <si>
    <t xml:space="preserve">2025   Commentary on JPOSNA® Quality Improvement Case Series: Pediatric Limb Reconstruction Gone Wrong: Risks of Pursuing Treatment Without Thorough Psychological Evaluation.</t>
  </si>
  <si>
    <t xml:space="preserve">2024   Identifying mental health outcomes and evidence-based psychological interventions for supporting pediatric gunshot wound patients: A systematic review and proposed conceptual model.</t>
  </si>
  <si>
    <t xml:space="preserve">Sarah Koumtouzoua   ·   MD; BS</t>
  </si>
  <si>
    <t xml:space="preserve">shenn3@emory.edu</t>
  </si>
  <si>
    <t xml:space="preserve">2026   Effect of common diabetes medications on metabolic dysfunction-associated steatotic liver disease as measured by transient elastography and other metabolic parameters: A systematic review.</t>
  </si>
  <si>
    <t xml:space="preserve">2024   Large-Scale, Primary Care-Based Hepatitis C Treatment in an Urban, Medically Underserved Patient Population.</t>
  </si>
  <si>
    <t xml:space="preserve">2021   Evaluating and Managing the Patient with Back Pain.</t>
  </si>
  <si>
    <t xml:space="preserve">Enoch Leung   ·   MD; PhD</t>
  </si>
  <si>
    <t xml:space="preserve">ecleung@emory.edu</t>
  </si>
  <si>
    <t xml:space="preserve">Geetha Jagannathan   ·   MBBS</t>
  </si>
  <si>
    <t xml:space="preserve">gjagann@emory.edu</t>
  </si>
  <si>
    <t xml:space="preserve">Titles (4)</t>
  </si>
  <si>
    <t xml:space="preserve">2025   Histologic comparison of normal and diseased skin in patients with suspected calciphylaxis.</t>
  </si>
  <si>
    <t xml:space="preserve">2025   Tubulocystic Renal Cell Carcinoma With Pure Morphology and Confirmed "Wild Type" FH/2SC Immunophenotype: Clinicopathologic Series of 30 Patients.</t>
  </si>
  <si>
    <t xml:space="preserve">2024   S2983 Rare Case of Mucosal Schwann Cell Hamartoma in the Appendiceal Orifice</t>
  </si>
  <si>
    <t xml:space="preserve">2023   Histologic Specificity in Calciphylaxis</t>
  </si>
  <si>
    <t xml:space="preserve">Lauren Hudak   ·   MD; MPH; BS</t>
  </si>
  <si>
    <t xml:space="preserve">lhudak@emory.edu</t>
  </si>
  <si>
    <t xml:space="preserve">https://med.emory.edu/directory/profile/?u=LHUDAK</t>
  </si>
  <si>
    <t xml:space="preserve">Lauren Hudak, MD, MPH is an attending physician in Emergency Medicine at Grady Memorial Hospital in Atlanta, Georgia, and an Associate Professor at Emory University School of Medicine. Her clinical expertise focuses on the care of trauma and injury patients, with a particular emphasis on survivors of sexual assault, intimate partner violence, and firearm-related injuries. She serves as the departmental lead for clinical forensic medicine. Dr. Hudak’s public health and research interests center on the impact of violence and injury on mental health and communities, as well as integrating firearm injury prevention into clinical practice. She is the Medical Director of Grady’s Survivors’ Advocacy and Forensic Evaluation (SAFE) Center, which delivers comprehensive forensic services and advances high-quality care for patients experiencing sexual assault, intimate partner violence, and other forms of violent injury. In addition, Dr. Hudak serves as Grady’s Correctional Medicine Co-Liaison, strengthening partnerships with local jails and prisons to improve continuity and quality of care for patients in shared custody. She is also an adjunct instructor at Emory’s Rollins School of Public Health, where she has taught courses such as Violence as a Public Health Issue and Firearm-Related Injury: Theory and Practice for undergraduate, master’s, and doctoral learners. As the Emergency Medicine Sexual Violence Curriculum Director, Dr. Hudak oversees training in sexual assault forensic examination and advocacy-driven clinical care. Her current research includes evaluating the effectiveness of firearm safety counseling in the Emergency Department, analyzing firearm injury trends and associated risk and protective factors, and developing hospital-based violence intervention strategies.</t>
  </si>
  <si>
    <t xml:space="preserve">2026   Peritraumatic C-reactive protein levels predict pain outcomes following traumatic stress exposure in a sex-dependent manner.</t>
  </si>
  <si>
    <t xml:space="preserve">2026   Social support and post-traumatic stress symptoms: Longitudinal bidirectional relationships in the AURORA study.</t>
  </si>
  <si>
    <t xml:space="preserve">2025   Childhood Adversity Is Associated With Longitudinal White Matter Changes After Adulthood Trauma.</t>
  </si>
  <si>
    <t xml:space="preserve">2025   Sequential decreases in basolateral amygdala response to threat predict failure to recover from PTSD.</t>
  </si>
  <si>
    <t xml:space="preserve">2025   Pre-trauma insomnia and posttraumatic alcohol and cannabis use in the AURORA observational cohort study of trauma survivors.</t>
  </si>
  <si>
    <t xml:space="preserve">2025   Early life adversity increases risk for chronic post-traumatic pain, data from humans and rodents.</t>
  </si>
  <si>
    <t xml:space="preserve">2025   Comprehensive mapping of cognitive and emotion networks in stress, anxiety, and depression implicates the precuneus as a critical hub.</t>
  </si>
  <si>
    <t xml:space="preserve">2025   Emotion identification and emotion sensitivity following interpersonal and non-interpersonal traumatic experiences: Results from the AURORA study.</t>
  </si>
  <si>
    <t xml:space="preserve">2025   Understanding Onset, Dynamic Transitions, and Associated Inequality Risk Factors for Adverse Posttraumatic Neuropsychiatric Sequelae After Trauma Exposure.</t>
  </si>
  <si>
    <t xml:space="preserve">2024   Patterns of firearm related injury in the elderly: A single institution analysis.</t>
  </si>
  <si>
    <t xml:space="preserve">2022   Associations among civilian mild traumatic brain injury with loss of consciousness, posttraumatic stress disorder symptom trajectories, and structural brain volumetric data.</t>
  </si>
  <si>
    <t xml:space="preserve">2022   Acute Posttraumatic Symptoms Are Associated With Multimodal Neuroimaging Structural Covariance Patterns: A Possible Role for the Neural Substrates of Visual Processing in Posttraumatic Stress Disorder.</t>
  </si>
  <si>
    <t xml:space="preserve">2021   Patient Characteristics and Perspectives of Firearm Safety Discussions in the Emergency Department.</t>
  </si>
  <si>
    <t xml:space="preserve">2021   Multimodal structural neuroimaging markers of risk and recovery from posttrauma anhedonia: A prospective investigation.</t>
  </si>
  <si>
    <t xml:space="preserve">2020   Redefining Our Understanding of The Impact of Firearm-Related Injury in the State of Georgia: A White Paper by the Violence Prevention Task Force of IPRCE</t>
  </si>
  <si>
    <t xml:space="preserve">2020   Investigation of optimal dose of early intervention to prevent posttraumatic stress disorder: A multiarm randomized trial of one and three sessions of modified prolonged exposure.</t>
  </si>
  <si>
    <t xml:space="preserve">2020   Firearm-Facilitated Sexual Assault: Using Emergency Department Data to Provide a Novel Perspective of the Problem</t>
  </si>
  <si>
    <t xml:space="preserve">2019   Nausea in the peri-traumatic period is associated with prospective risk for PTSD symptom development.</t>
  </si>
  <si>
    <t xml:space="preserve">blee51@emory.edu</t>
  </si>
  <si>
    <t xml:space="preserve">https://www.choa.org/doctors/benjamin-howard-lee</t>
  </si>
  <si>
    <t xml:space="preserve">Board CertificationAm Bd Anes (Sub: Pediatric Anesthesiology), Am Bd Anes (Sub: Hospice &amp; Palliative Medicine), Am Bd AnesthesiologyMaster's Degree Program:Harvard School of Public HealthMedical School:Wake Forest University School of MedicineInternship:University of California at San Diego School of MedicineResidency:University of North Carolina at Chapel HillFellowship:Yale University School of Medicine Childrens Physician Group - Anesthesia at Arthur M. Blank Hospital Arthur M.</t>
  </si>
  <si>
    <t xml:space="preserve">Titles (9)</t>
  </si>
  <si>
    <t xml:space="preserve">2026   Characterization of HER2-Positive Murine Breast Cancer Models for Investigating HER2-Targeted Therapy and Immunotherapy</t>
  </si>
  <si>
    <t xml:space="preserve">2026   SMARCB1 missense mutants disrupt SWI/SNF complex stability and remodeling activity.</t>
  </si>
  <si>
    <t xml:space="preserve">2025   Challenges and Opportunities in High-Grade Glioma Management and Imaging-Based Response Monitoring During Novel Immunotherapies</t>
  </si>
  <si>
    <t xml:space="preserve">2025   Pediatric erythromelalgia from multidisciplinary perspectives: a scoping review.</t>
  </si>
  <si>
    <t xml:space="preserve">2024   Differences in Rotavirus Shedding and Duration by Infant Oral Rotavirus Vaccination Status in Dhaka, Bangladesh, 2011-2014.</t>
  </si>
  <si>
    <t xml:space="preserve">2024   Targeting TRIP13 in favorable histology Wilms tumor with nuclear export inhibitors synergizes with doxorubicin.</t>
  </si>
  <si>
    <t xml:space="preserve">2024   Bridging the mismatch: observing the introduction of new anesthesia technology for a low-resource environment.</t>
  </si>
  <si>
    <t xml:space="preserve">2023   Prevalence and Geographic Patterns of Self-Reported Short Sleep Duration Among US Adults, 2020.</t>
  </si>
  <si>
    <t xml:space="preserve">2020   Del20q and Gain/Loss of Sex Chromosomes in Patients with Plasma Cell Neoplasm</t>
  </si>
  <si>
    <t xml:space="preserve">Franck Amblard   ·   PhD; MSc</t>
  </si>
  <si>
    <t xml:space="preserve">famblar@emory.edu</t>
  </si>
  <si>
    <t xml:space="preserve">Titles (81)</t>
  </si>
  <si>
    <t xml:space="preserve">2026   The 2'-α-Fluoro,2'-β-Bromo uridine phosphoramidate prodrug (2-BFU) reduces dengue virus replication and attenuates infection-induced thrombocytopenia In Vivo.</t>
  </si>
  <si>
    <t xml:space="preserve">2026   Stereoselective synthesis of 1'-α-cyano carbocyclic pyrimidine nucleoside analogs via a chelation-controlled 1'-α-hydroxymethylation strategy.</t>
  </si>
  <si>
    <t xml:space="preserve">2026   Prodrug strategies in developing antiviral nucleoside analogs.</t>
  </si>
  <si>
    <t xml:space="preserve">2026   Functional immune responses induced by a capsid assembly modulator in chronic hepatitis B virus-infected humanized mice.</t>
  </si>
  <si>
    <t xml:space="preserve">2025   Envelope-dimer epitope 1 (EDE1) antibody (C10) treatment significantly reduces Zika virus replication in the male and female reproductive tracts.</t>
  </si>
  <si>
    <t xml:space="preserve">2025   Discovery of broad-spectrum antivirals targeting viral proteases using in silico structural modeling and cellular analysis.</t>
  </si>
  <si>
    <t xml:space="preserve">2025   1'-Cyanocytidine-5'-isobutyryl is a potent SARS-CoV-2 inhibitor in culture and infected Syrian hamsters.</t>
  </si>
  <si>
    <t xml:space="preserve">2025   Novel Dimeric Capsid Assembly Modulators as a Unique Class of Highly Potent Anti-HBV Agents.</t>
  </si>
  <si>
    <t xml:space="preserve">2025   Combating yellow fever virus with 7-deaza-7-fluoro-2'-C-methyladenosine.</t>
  </si>
  <si>
    <t xml:space="preserve">2025   Mechanism of Inhibition of the Active Triphosphate Form of 2'-α-Fluoro,2'-β-bromouridine against Yellow Fever Virus RNA-Dependent RNA Polymerase.</t>
  </si>
  <si>
    <t xml:space="preserve">2025   Strategy to overcome a nirmatrelvir resistance mechanism in the SARS-CoV-2 nsp5 protease.</t>
  </si>
  <si>
    <t xml:space="preserve">2024   N4-Hydroxycytidine/molnupiravir inhibits RNA virus-induced encephalitis by producing less fit mutated viruses.</t>
  </si>
  <si>
    <t xml:space="preserve">2024   The structural and mechanistic bases for the viral resistance to allosteric HIV-1 integrase inhibitor pirmitegravir.</t>
  </si>
  <si>
    <t xml:space="preserve">2024   Synthesis and biological evaluation of novel peptidomimetic inhibitors of the coronavirus 3C-like protease.</t>
  </si>
  <si>
    <t xml:space="preserve">2024   Development of robust antiviral assays using relevant apical-out human airway organoids.</t>
  </si>
  <si>
    <t xml:space="preserve">2024   The Discovery and Preclinical Profile of ALG-000184, a Prodrug of the Potent Hepatitis B Virus Capsid Assembly Modulator ALG-001075.</t>
  </si>
  <si>
    <t xml:space="preserve">2024   Why Certain Repurposed Drugs Are Unlikely to Be Effective Antivirals to Treat SARS-CoV-2 Infections.</t>
  </si>
  <si>
    <t xml:space="preserve">2023   Synthesis of 4'-Substituted Carbocyclic Uracil Derivatives and Their Monophosphate Prodrugs as Potential Antiviral Agents.</t>
  </si>
  <si>
    <t xml:space="preserve">2023   Synthesis and evaluation of highly potent HBV capsid assembly modulators (CAMs).</t>
  </si>
  <si>
    <t xml:space="preserve">2023   The premise of capsid assembly modulators towards eliminating HBV persistence.</t>
  </si>
  <si>
    <t xml:space="preserve">2022   Discovery of a 2'-Fluoro,2'-Bromouridine Phosphoramidate Prodrug Exhibiting Anti-Yellow Fever Virus Activity in Culture and in Mice.</t>
  </si>
  <si>
    <t xml:space="preserve">2022   HIV nucleoside reverse transcriptase inhibitors.</t>
  </si>
  <si>
    <t xml:space="preserve">2022   The Mechanism of Action of Hepatitis B Virus Capsid Assembly Modulators Can Be Predicted from Binding to Early Assembly Intermediates.</t>
  </si>
  <si>
    <t xml:space="preserve">2022   Synthesis of Novel N 4 -Hydrocytidine Analogs as Potential Anti-SARS-CoV-2 Agents.</t>
  </si>
  <si>
    <t xml:space="preserve">2022   In silico design of a novel nucleotide antiviral agent by free energy perturbation.</t>
  </si>
  <si>
    <t xml:space="preserve">2022   Diastereoselective Synthesis of 2'-Dihalopyrimidine Ribonucleoside Inhibitors of Hepatitis C Virus Replication.</t>
  </si>
  <si>
    <t xml:space="preserve">2022   Assessment of a Computational Approach to Predict Drug Resistance Mutations for HIV, HBV and SARS-CoV-2.</t>
  </si>
  <si>
    <t xml:space="preserve">2021   Studies on the Efficacy, Potential Cardiotoxicity and Monkey Pharmacokinetics of GLP-26 as a Potent Hepatitis B Virus Capsid Assembly Modulator.</t>
  </si>
  <si>
    <t xml:space="preserve">2021   Discovery and structure activity relationship of glyoxamide derivatives as anti-hepatitis B virus agents.</t>
  </si>
  <si>
    <t xml:space="preserve">2021   Comparison of anti-SARS-CoV-2 activity and intracellular metabolism of remdesivir and its parent nucleoside.</t>
  </si>
  <si>
    <t xml:space="preserve">2021   Baicalein and Baicalin Inhibit SARS-CoV-2 RNA-Dependent-RNA Polymerase.</t>
  </si>
  <si>
    <t xml:space="preserve">2020   Synthesis of 7-trifluoromethyl-7-deazapurine ribonucleoside analogs and their monophosphate prodrugs.</t>
  </si>
  <si>
    <t xml:space="preserve">2020   Synthesis of 4'-Substituted-2'-Deoxy-2'-α-Fluoro Nucleoside Analogs as Potential Antiviral Agents.</t>
  </si>
  <si>
    <t xml:space="preserve">2020   Repurposing Nucleoside Analogs for Human Coronaviruses.</t>
  </si>
  <si>
    <t xml:space="preserve">2020   Potent in vitro activity of β-D-4'-chloromethyl-2'-deoxy-2'-fluorocytidine against Nipah virus.</t>
  </si>
  <si>
    <t xml:space="preserve">2020   Novel Hepatitis B Virus Capsid Assembly Modulator Induces Potent Antiviral Responses In Vitro and in Humanized Mice.</t>
  </si>
  <si>
    <t xml:space="preserve">2020   Intracellular metabolism and potential cardiotoxicity of a β-D-2'- C -methyl-2,6-diaminopurine ribonucleoside phosphoramidate that inhibits hepatitis C virus replication.</t>
  </si>
  <si>
    <t xml:space="preserve">2020   Erratum for Amblard et al., "Novel Hepatitis B Virus Capsid Assembly Modulator Induces Potent Antiviral Responses In Vitro and in Humanized Mice".</t>
  </si>
  <si>
    <t xml:space="preserve">2020   Correction for Mavigner et al., "Simian Immunodeficiency Virus Persistence in Cellular and Anatomic Reservoirs in Antiretroviral Therapy-Suppressed Infant Rhesus Macaques".</t>
  </si>
  <si>
    <t xml:space="preserve">2020   Agonist of RORA Attenuates Nonalcoholic Fatty Liver Progression in Mice via Up-regulation of MicroRNA 122.</t>
  </si>
  <si>
    <t xml:space="preserve">2020   7-Deaza-7-fluoro-2'-C-methyladenosine inhibits Zika virus infection and viral-induced neuroinflammation.</t>
  </si>
  <si>
    <t xml:space="preserve">2019   Synthesis of 2-fluoro-substituted and 2,6-modified purine 2',3'-dideoxy-2',3'-difluoro-d-arabinofuranosyl nucleosides from d-xylose.</t>
  </si>
  <si>
    <t xml:space="preserve">2019   Synthesis and anti-HCV activity of β-d-2'-deoxy-2'-α-chloro-2'-β-fluoro and β-d-2'-deoxy-2'-α-bromo-2'-β-fluoro nucleosides and their phosphoramidate prodrugs.</t>
  </si>
  <si>
    <t xml:space="preserve">2019   Structural and Antiviral Studies of the Human Norovirus GII.4 Protease.</t>
  </si>
  <si>
    <t xml:space="preserve">2019   Nucleoside Analogs with Selective Antiviral Activity against Dengue Fever and Japanese Encephalitis Viruses.</t>
  </si>
  <si>
    <t xml:space="preserve">2019   Nucleoside Analogs with Antiviral Activity against Yellow Fever Virus.</t>
  </si>
  <si>
    <t xml:space="preserve">2019   Novel influenza polymerase PB2 inhibitors for the treatment of influenza A infection.</t>
  </si>
  <si>
    <t xml:space="preserve">2019   Discovery of a Series of 2'-α-Fluoro,2'-β-bromo-ribonucleosides and Their Phosphoramidate Prodrugs as Potent Pan-Genotypic Inhibitors of Hepatitis C Virus.</t>
  </si>
  <si>
    <t xml:space="preserve">2018   Synthesis and antiviral evaluation of novel peptidomimetics as norovirus protease inhibitors.</t>
  </si>
  <si>
    <t xml:space="preserve">2018   Simian Immunodeficiency Virus Persistence in Cellular and Anatomic Reservoirs in Antiretroviral Therapy-Suppressed Infant Rhesus Macaques.</t>
  </si>
  <si>
    <t xml:space="preserve">2018   Expression, Purification and Characterization of a GII.4 Norovirus Protease from Minerva Virus.</t>
  </si>
  <si>
    <t xml:space="preserve">2017   Synthesis of sulfamoylbenzamide derivatives as HBV capsid assembly effector.</t>
  </si>
  <si>
    <t xml:space="preserve">2017   Synthesis of (2S)-2-Chloro-2-fluororibolactone via Stereoselective Electrophilic Fluorination.</t>
  </si>
  <si>
    <t xml:space="preserve">2017   Synthesis and antiviral evaluation of novel heteroarylpyrimidines analogs as HBV capsid effectors.</t>
  </si>
  <si>
    <t xml:space="preserve">2017   Synthesis and antiviral evaluation of fluorinated acyclo-nucleosides and their phosphoramidates.</t>
  </si>
  <si>
    <t xml:space="preserve">2017   Synthesis and antiviral evaluation of 2',2',3',3'-tetrafluoro nucleoside analogs.</t>
  </si>
  <si>
    <t xml:space="preserve">2017   Synthesis and anti-HCV activity of a series of β-d-2'-deoxy-2'-dibromo nucleosides and their corresponding phosphoramidate prodrugs.</t>
  </si>
  <si>
    <t xml:space="preserve">2017   Nucleotide Substrate Specificity of Anti-Hepatitis C Virus Nucleoside Analogs for Human Mitochondrial RNA Polymerase.</t>
  </si>
  <si>
    <t xml:space="preserve">2017   Metabolism of Nucleosides and Nucleotides Prodrugs.</t>
  </si>
  <si>
    <t xml:space="preserve">2017   Increased activity of unlinked Zika virus NS2B/NS3 protease compared to linked Zika virus protease.</t>
  </si>
  <si>
    <t xml:space="preserve">… and 21 older titles, not shown</t>
  </si>
  <si>
    <t xml:space="preserve">Lalita Movva   ·   MD</t>
  </si>
  <si>
    <t xml:space="preserve">lmovva@emory.edu</t>
  </si>
  <si>
    <t xml:space="preserve">2026   The Emory/Grady Medical–Psychiatric Unit: Development, Structure, and Early Experience of a High-Acuity Integrated Care Model</t>
  </si>
  <si>
    <t xml:space="preserve">mlilien@emory.edu</t>
  </si>
  <si>
    <t xml:space="preserve">https://www.choa.org/doctors/matthew-alan-lilien</t>
  </si>
  <si>
    <t xml:space="preserve">Board CertificationAm Bd Anes (Sub: Pediatric Anesthesiology), Am Bd AnesthesiologyMedical School:American University of the CaribbeanInternship:Monmouth Medical CenterResidency:SUNY Upstate Medical UniversityFellowship:Emory University School of MedicineSt Louis Childrens Hospital Childrens Physician Group - Anesthesia at Arthur M. Blank Hospital Arthur M.</t>
  </si>
  <si>
    <t xml:space="preserve">Soumitri Sil   ·   PhD; MA; BA; ABPP</t>
  </si>
  <si>
    <t xml:space="preserve">ssil@emory.edu</t>
  </si>
  <si>
    <t xml:space="preserve">https://www.choa.org/doctors/soumitri-sil</t>
  </si>
  <si>
    <t xml:space="preserve">Board CertificationAm Bd Professional PsychologyPostgraduate:University of MarylandInternship:Cincinnati Children's Hospital Medical CenterFellowship:Cincinnati Children's Hospital Medical Center Soumitri Sil, PhD, is a Pediatric Psychologist at the Aflac Cancer and Blood Disorders Center of Children’s Healthcare of Atlanta and Associate Professor of Pediatrics at Emory University School of Medicine. Dr. Sil’s specialization in pediatric pain management focuses on the development and evaluation of behavioral interventions to promote the health and functioning of children and adolescents with chronic sickle cell pain. Dr. Sil received her Doctor of Philosophy in clinical child psychology at the University of Maryland Baltimore County and her residency and fellowship training at Cincinnati Children’s Hospital Medical Center.</t>
  </si>
  <si>
    <t xml:space="preserve">Integrative Training Program for Pediatric Sickle Cell Pain</t>
  </si>
  <si>
    <t xml:space="preserve">2023   The influence of child pain catastrophizing and parent behavior on health-related quality of life in pediatric sickle cell disease</t>
  </si>
  <si>
    <t xml:space="preserve">2022   The distinct longitudinal impact of pain catastrophizing on pain interference among youth living with sickle cell disease and chronic pain</t>
  </si>
  <si>
    <t xml:space="preserve">2022   Biopsychosocial Factors Associated with Parenting Stress in Pediatric Sickle Cell Disease</t>
  </si>
  <si>
    <t xml:space="preserve">2022   Moving Beyond Patient-Level Drivers of Racial/Ethnic Disparities in Childhood Cancer</t>
  </si>
  <si>
    <t xml:space="preserve">2021   Psychosocial risk and health care utilization in pediatric sickle cell disease</t>
  </si>
  <si>
    <t xml:space="preserve">2019   Pediatric pain screening identifies youth at risk of chronic pain in sickle cell disease</t>
  </si>
  <si>
    <t xml:space="preserve">2019   Topical Review: State of the Field of Child Self-Report of Acute Pain</t>
  </si>
  <si>
    <t xml:space="preserve">2018   Parent pain catastrophizing predicts child depressive symptoms in youth with sickle cell disease</t>
  </si>
  <si>
    <t xml:space="preserve">2016   Pediatric Sickle Cell Disease and Parent and Child Catastrophizing</t>
  </si>
  <si>
    <t xml:space="preserve">2016   Psychosocial and Functional Outcomes in Youth With Chronic Sickle Cell Pain</t>
  </si>
  <si>
    <t xml:space="preserve">Michelle Lampl   ·   MD, PhD</t>
  </si>
  <si>
    <t xml:space="preserve">mlampl@emory.edu</t>
  </si>
  <si>
    <t xml:space="preserve">2022   Nutrition in adolescent growth and development.</t>
  </si>
  <si>
    <t xml:space="preserve">2020   Advancing human health in the decade ahead: pregnancy as a key window for discovery: A Burroughs Wellcome Fund Pregnancy Think Tank.</t>
  </si>
  <si>
    <t xml:space="preserve">2020   Comparison of physical examination and laboratory data between a clinical study and electronic health records.</t>
  </si>
  <si>
    <t xml:space="preserve">2019   General Biology of the Developmental Origins of Health</t>
  </si>
  <si>
    <t xml:space="preserve">2018   Growth and Life Course Health Development</t>
  </si>
  <si>
    <t xml:space="preserve">2017   How long bones grow children: Mechanistic paths to variation in human height growth.</t>
  </si>
  <si>
    <t xml:space="preserve">2016   Effects of a Health-Partner Intervention on Cardiovascular Risk.</t>
  </si>
  <si>
    <t xml:space="preserve">2016   Promoting Healthy Growth or Feeding Obesity? The Need for Evidence-Based Oversight of Infant Nutritional Supplement Claims.</t>
  </si>
  <si>
    <t xml:space="preserve">2015   Auxological perspectives on 'growth' in DOHaD.</t>
  </si>
  <si>
    <t xml:space="preserve">2015   Trajectories of body mass index amongst children who develop type 2 diabetes as adults.</t>
  </si>
  <si>
    <t xml:space="preserve">2014   Obituary for professor David Barker.</t>
  </si>
  <si>
    <t xml:space="preserve">2014   Historical approaches to human growth studies limit the present understanding of growth biology.</t>
  </si>
  <si>
    <t xml:space="preserve">2013   Commentary: The meaning of thrift.</t>
  </si>
  <si>
    <t xml:space="preserve">2013   Prenatal and postnatal energetic conditions and sex steroids levels across the first year of life</t>
  </si>
  <si>
    <t xml:space="preserve">2013   Engaging young adults in proactive health behaviors: a goal-setting process.</t>
  </si>
  <si>
    <t xml:space="preserve">2012   Perspectives on modelling human growth: mathematical models and growth biology.</t>
  </si>
  <si>
    <t xml:space="preserve">2012   Ethnic differences in the accumulation of fat and lean mass in late gestation.</t>
  </si>
  <si>
    <t xml:space="preserve">2011   Menopause, A Biocultural Perspective</t>
  </si>
  <si>
    <t xml:space="preserve">2011   Infant head circumference growth is saltatory and coupled to length growth.</t>
  </si>
  <si>
    <t xml:space="preserve">2011   Infant growth in length follows prolonged sleep and increased naps.</t>
  </si>
  <si>
    <t xml:space="preserve">2010   Sex differences in fetal growth responses to maternal height and weight.</t>
  </si>
  <si>
    <t xml:space="preserve">2009   Human growth from the cell to the organism: saltations and integrative physiology.</t>
  </si>
  <si>
    <t xml:space="preserve">2009   Growth perturbations in a phenotype with rapid fetal growth preceding preterm labor and term birth.</t>
  </si>
  <si>
    <t xml:space="preserve">2009   Early rapid growth, early birth: accelerated fetal growth and spontaneous late preterm birth.</t>
  </si>
  <si>
    <t xml:space="preserve">2008   Downward percentile crossing as an indicator of an adverse prenatal environment.</t>
  </si>
  <si>
    <t xml:space="preserve">2007   Growth chart curves do not describe individual growth biology.</t>
  </si>
  <si>
    <t xml:space="preserve">2005   Sex differences in the relationships among weight gain, subcutaneous skinfold tissue and saltatory length growth spurts in infancy.</t>
  </si>
  <si>
    <t xml:space="preserve">2005   Growth patterns of the heart and kidney suggest inter-organ collaboration in facultative fetal growth.</t>
  </si>
  <si>
    <t xml:space="preserve">2005   Cellular life histories and bow tie biology.</t>
  </si>
  <si>
    <t xml:space="preserve">2004   Exposure to maternal diabetes is associated with altered fetal growth patterns: A hypothesis regarding metabolic allocation to growth under hyperglycemic-hypoxemic conditions.</t>
  </si>
  <si>
    <t xml:space="preserve">2003   Timing is everything: a reconsideration of fetal growth velocity patterns identifies the importance of individual and sex differences.</t>
  </si>
  <si>
    <t xml:space="preserve">2003   Prenatal smoke exposure alters growth in limb proportions and head shape in the midgestation human fetus.</t>
  </si>
  <si>
    <t xml:space="preserve">2002   Infants thinner at birth exhibit smaller kidneys for their size in late gestation in a sample of fetuses with appropriate growth.</t>
  </si>
  <si>
    <t xml:space="preserve">1997   Identifying saltatory growth patterns in infancy: A comparison of results based on measurement protocol.</t>
  </si>
  <si>
    <t xml:space="preserve">Harry Baddour Jr   ·   MD; BS</t>
  </si>
  <si>
    <t xml:space="preserve">hbaddou@emory.edu</t>
  </si>
  <si>
    <t xml:space="preserve">https://med.emory.edu/directory/profile/?u=HBADDOU</t>
  </si>
  <si>
    <t xml:space="preserve">H. Michael Baddour, Jr., MD, is Associate Professor in the Department of Otolaryngology at Emory University School of Medicine. A board certified otolaryngologist, Dr. Baddour specializes in head and neck oncology and complex microvascular reconstruction. Dr. Baddour holds professional memberships with American Academy of Otolaryngology - Head and Neck Surgery, American Head and Neck Society and Metro Atlanta Educational Society for Otolaryngology.</t>
  </si>
  <si>
    <t xml:space="preserve">2026   Minimizing Chemoradiation Using a Surgical Algorithm for HPV-Associated Cancer of Unknown Primary.</t>
  </si>
  <si>
    <t xml:space="preserve">2026   Submental Island Flap for Reconstruction of Preauricular Defects: A Narrative Review.</t>
  </si>
  <si>
    <t xml:space="preserve">2026   Colocated Multidisciplinary Clinic Is Associated With Improved Timeliness to Postoperative Adjuvant Therapy in Head and Neck Cancer Patients.</t>
  </si>
  <si>
    <t xml:space="preserve">2025   Radiologic findings of occult nodal metastasis during clinically-N0 salvage total laryngectomy.</t>
  </si>
  <si>
    <t xml:space="preserve">2025   Long-Term Postoperative Donor Site Musculoskeletal Morbidity after Osseous Free Flap Harvest.</t>
  </si>
  <si>
    <t xml:space="preserve">2024   Stacked fibula flap for unilateral total maxillectomy reconstruction with orbital preservation.</t>
  </si>
  <si>
    <t xml:space="preserve">2024   Submental Island Flaps for Lateral Reconstruction: Technical Refinements for Optimal Outcomes and Resource Efficiency.</t>
  </si>
  <si>
    <t xml:space="preserve">2020   Outcomes and Predictive Value of Post-adjuvant Therapy PET/CT for Locally Advanced Oral Squamous Cell Carcinoma.</t>
  </si>
  <si>
    <t xml:space="preserve">2019   Imaging of Surgical Free Flaps in Head and Neck Reconstruction</t>
  </si>
  <si>
    <t xml:space="preserve">2019   Prognostic implications of peritumoral vasculature in head and neck cancer.</t>
  </si>
  <si>
    <t xml:space="preserve">2016   The importance of margins in head and neck cancer.</t>
  </si>
  <si>
    <t xml:space="preserve">Jae Won Chang   ·   PhD</t>
  </si>
  <si>
    <t xml:space="preserve">jchan51@emory.edu</t>
  </si>
  <si>
    <t xml:space="preserve">https://med.emory.edu/directory/profile/?u=JCHAN51</t>
  </si>
  <si>
    <t xml:space="preserve">Large-scale profiling methods have uncovered numerous gene and protein expression changes that correlate with tumorigenesis. However, determining the relevance of these expression changes and which biochemical pathways they affect has been hindered by our incomplete understanding of the proteome and its myriad functions and modes of regulation. Activity-based profiling platforms enable both the discovery of cancer-relevant enzymes and selective pharmacological probes to perturb and characterize these proteins in tumor cells. When integrated with other large-scale profiling methods, activity-based proteomics can provide insight into the metabolic and signaling pathways that support cancer pathogenesis and illuminate new strategies for disease diagnosis and treatment. Overall goal of our lab is to understand how alterations in the function of proteins contribute to human disease and to identify individual proteins and cognate biochemical pathways that can be pharmacologically targeted for human disease. Therefore our laboratory is mainly focused on developing of novel chemical probes for profiling poorly characterized protein activities and drugs for prevention, diagnosis, treatment and cure of diseases like cancer and diabetes.</t>
  </si>
  <si>
    <t xml:space="preserve">Chemical Proteomics Approach to Discover Novel Small Molecule E3 Ligase recruiters for Targeted Protein degrad</t>
  </si>
  <si>
    <t xml:space="preserve">Titles (5)</t>
  </si>
  <si>
    <t xml:space="preserve">2025   Protocol for covalent-targeted and activatable photoacoustic imaging agent for tumor imaging in mice</t>
  </si>
  <si>
    <t xml:space="preserve">2023   Soft Wireless Headband Bioelectronics and Electrooculography for Persistent Human-Machine Interfaces</t>
  </si>
  <si>
    <t xml:space="preserve">2022   Effectiveness of the Fibrinogen-Thrombin-Impregnated Collagen Patch in the Prevention of Postoperative Complications after Parotidectomy: A Single-Blinded, Randomized Controlled Study</t>
  </si>
  <si>
    <t xml:space="preserve">2021   Recent advances in development of hetero-bivalent kinase inhibitors</t>
  </si>
  <si>
    <t xml:space="preserve">Development of a Dual-Factor Activatable Covalent Targeted Photoacoustic Imaging Probe for Tumor Imaging. (Angewandte Chemie (International ed. in English) + 2024)</t>
  </si>
  <si>
    <t xml:space="preserve">Melat Gebre   ·   MD</t>
  </si>
  <si>
    <t xml:space="preserve">magebre@emory.edu</t>
  </si>
  <si>
    <t xml:space="preserve">2022   Percutaneous electric nerve field stimulation alters cortical thickness in a pilot study of veterans with fibromyalgia.</t>
  </si>
  <si>
    <t xml:space="preserve">2021   Feasibility of Auricular Field Stimulation in Fibromyalgia: Evaluation by Functional Magnetic Resonance Imaging, Randomized Trial.</t>
  </si>
  <si>
    <t xml:space="preserve">2021   Predicting cardiac risk in noncardiac surgery: a narrative review.</t>
  </si>
  <si>
    <t xml:space="preserve">2020   Viscoelastic Haemostatic Assays in Cardiovascular Critical Care.</t>
  </si>
  <si>
    <t xml:space="preserve">2018   Functional Magnetic Resonance Imaging Evaluation of Auricular Percutaneous Electrical Neural Field Stimulation for Fibromyalgia: Protocol for a Feasibility Study.</t>
  </si>
  <si>
    <t xml:space="preserve">Rafael Medina Silva   ·   PhD</t>
  </si>
  <si>
    <t xml:space="preserve">rmedin6@emory.edu</t>
  </si>
  <si>
    <t xml:space="preserve">https://med.emory.edu/directory/profile/?u=RMEDIN6</t>
  </si>
  <si>
    <t xml:space="preserve">Dr. Rafael A. Medina, Ph.D., is Associate Professor in the Department of Pathology and Laboratory Medicine and part of the Emory Vaccine Center in the Emory University School of Medicine. Dr. Medina obtained his Bachelor of Science degree at the university of Western Sydney, Australia, completed his Ph.D. in Biomedical Sciences at The University of New Mexico and his Postdoctoral Fellowship in Virology with Dr. Adolfo Garcia-Sastre at the Icahn School of Medicine at Mount Sinai. Dr. Medina conducts basic and translational interdisciplinary research on RNA viruses, and has extensive expertise on Hantaviruses, Influenza virus, and severe acute respiratory syndrome coronavirus 2 (SARS-CoV-2). The Medina Lab focuses on understanding the molecular basis of disease, pathogenesis and immune responses induced during RNA virus infections, using systems biology approaches. Research projects in the lab include studying viral zoonosis, viral immune evasion and using several experimental and Omics tools to dissect molecular host-pathogen interactions leading to resilience versus severe disease.</t>
  </si>
  <si>
    <t xml:space="preserve">Influenza Modeling of Correlates of Protection for Optimal Immune Dynamics and Evolution.</t>
  </si>
  <si>
    <t xml:space="preserve">2026   The dark side of light exposure: impacts on object recognition memory and spatial associative memory in Wistar rats.</t>
  </si>
  <si>
    <t xml:space="preserve">Dawn Manning-Williams   ·   MD; BS</t>
  </si>
  <si>
    <t xml:space="preserve">dmannin@emory.edu</t>
  </si>
  <si>
    <t xml:space="preserve">https://med.emory.edu/directory/profile/?u=DMANNIN</t>
  </si>
  <si>
    <t xml:space="preserve">Dr. Dawn M. Manning-Williams is the Director of Obstetric Anesthesiology at Grady Memorial Hospital. Her clinical expertise is providing anesthesia to high-risk obstetric and trauma patients, and airway management. She is the Chair of the OB Anesthesia Fellowship Clinical Competency Committee and a member of the core program clinical competency committee. She is also licensed in the state of Georgia to practice acupuncture.</t>
  </si>
  <si>
    <t xml:space="preserve">Limin Peng   ·   PhD; MPH</t>
  </si>
  <si>
    <t xml:space="preserve">CF-AIR (CHOA)
Cancer Prevention &amp; Control (Winship)
Biostatistics &amp; Bioinformatics (RSPH)
Environmental Health (RSPH)
Global Health (RSPH)</t>
  </si>
  <si>
    <t xml:space="preserve">lpeng@emory.edu</t>
  </si>
  <si>
    <t xml:space="preserve">https://sph.emory.edu/profile/faculty/limin-peng</t>
  </si>
  <si>
    <t xml:space="preserve">Developing statistical analysis and prediction tools for continuous glucose monitoring (CGM) use in hospitaliz</t>
  </si>
  <si>
    <t xml:space="preserve">2026   Real-Time Continuous Glucose Monitoring Among People With Type 2 Diabetes and End-Stage Kidney Failure Undergoing Maintenance Hemodialysis: A Randomized Clinical Trial.</t>
  </si>
  <si>
    <t xml:space="preserve">2026   Global Group Testing and Screening With Dynamic Effects.</t>
  </si>
  <si>
    <t xml:space="preserve">2026   Comprehensive Clinicopathologic Evaluations of 149 Metaplastic Carcinomas of the Breast Treated With Neoadjuvant and Adjuvant Chemotherapy.</t>
  </si>
  <si>
    <t xml:space="preserve">2025   Continuous Glucose Monitoring Improves Detection of Glycemic Excursions in Hemodialysis Patients With Type 2 Diabetes</t>
  </si>
  <si>
    <t xml:space="preserve">2025   A randomized controlled trial of patient navigators for post-hospital discharge diabetic foot ulcer care: the Comprehensive Assistance and Resources for Effective Diabetic Foot Navigation (C</t>
  </si>
  <si>
    <t xml:space="preserve">2025   Early life elevations of methionine oxidation and ornithine track and predict cystic fibrosis structural lung disease</t>
  </si>
  <si>
    <t xml:space="preserve">2025   SLCARE: An R Package for Semiparametric Latent Class Analysis of Recurrent Events</t>
  </si>
  <si>
    <t xml:space="preserve">2025   Randomized Study Comparing Continuous Glucose Monitoring and Capillary Glucose Testing in Patients With Type 2 Diabetes After Hospital Discharge.</t>
  </si>
  <si>
    <t xml:space="preserve">2025   Proposing New Criteria for Classification of Benign Fibroepithelial Lesions Based on Clinicopathologic Evaluations of 507 Cases with Clinical Outcome.</t>
  </si>
  <si>
    <t xml:space="preserve">2025   Framework for constructing an optimal weighted score based on agreement.</t>
  </si>
  <si>
    <t xml:space="preserve">2025   Exploring the heterogeneity in recurrent episode lengths based on quantile regression.</t>
  </si>
  <si>
    <t xml:space="preserve">2025   Dynamic Regression of Longitudinal Trajectory Features.</t>
  </si>
  <si>
    <t xml:space="preserve">2025   Assessment of Glycemic Control Using Continuous Glucose Monitoring During Hospitalization and After Discharge for Older Adults.</t>
  </si>
  <si>
    <t xml:space="preserve">2025   A novel Phase II single-arm hybrid design to minimize trial duration and enhance subsequent Phase III trial success rate.</t>
  </si>
  <si>
    <t xml:space="preserve">2024   Validation Study of the Newly Proposed Refined Diagnostic Criteria for Malignant Phyllodes Tumor With 136 Borderline and Malignant Phyllodes Tumor Cases.</t>
  </si>
  <si>
    <t xml:space="preserve">2024   Partial Quantile Tensor Regression.</t>
  </si>
  <si>
    <t xml:space="preserve">2024   Latent Class Proportional Hazards Regression with Heterogeneous Survival Data.</t>
  </si>
  <si>
    <t xml:space="preserve">2024   Key inflammatory markers in bronchoalveolar lavage predict bronchiectasis progression in young children with CF.</t>
  </si>
  <si>
    <t xml:space="preserve">2024   Continuous Glucose Monitoring-Guided Insulin Administration in Long-Term Care Facilities: A Randomized Clinical Trial.</t>
  </si>
  <si>
    <t xml:space="preserve">2024   Continuous Glucose Monitoring Metrics and Hemoglobin A1c Relationship in Patients with Type 2 Diabetes Treated by Hemodialysis.</t>
  </si>
  <si>
    <t xml:space="preserve">2024   Changes in expression of breast cancer tumor biomarkers between primary tumors and corresponding metastatic sites: common patterns and relationships with survival.</t>
  </si>
  <si>
    <t xml:space="preserve">2024   Assessment of Glycemic Control by Continuous Glucose Monitoring, Hemoglobin A1c, Fructosamine, and Glycated Albumin in Patients With End-Stage Kidney Disease and Burnt-Out Diabetes.</t>
  </si>
  <si>
    <t xml:space="preserve">2023   Tensor response quantile regression with neuroimaging data.</t>
  </si>
  <si>
    <t xml:space="preserve">2023   Pulmonary exacerbations in early cystic fibrosis lung disease are marked by strong modulation of CD3 and PD-1 on luminal T cells.</t>
  </si>
  <si>
    <t xml:space="preserve">2023   Instrumental variable estimation of complier causal treatment effect with interval-censored data.</t>
  </si>
  <si>
    <t xml:space="preserve">2023   Globally Adaptive Longitudinal Quantile Regression with High Dimensional Compositional Covariates.</t>
  </si>
  <si>
    <t xml:space="preserve">2023   Evaluating the association between latent classes and competing risks outcomes with multiphenotype data.</t>
  </si>
  <si>
    <t xml:space="preserve">2023   Efficacy of a Smart Insulin Pen Cap for the Management of Patients with Uncontrolled Type 2 Diabetes: A Randomized Cross-Over Trial.</t>
  </si>
  <si>
    <t xml:space="preserve">2023   Diabetic retinopathy in African-Americans with end-stage kidney disease: a cross-sectional study on prevalence and impact on quality of life.</t>
  </si>
  <si>
    <t xml:space="preserve">2023   Comprehensive Clinical-Pathologic Assessment of Malignant Phyllodes Tumors: Proposing Refined Diagnostic Criteria.</t>
  </si>
  <si>
    <t xml:space="preserve">2023   Airway macrophages display decreased expression of receptors mediating and regulating scavenging in early cystic fibrosis lung disease.</t>
  </si>
  <si>
    <t xml:space="preserve">2023   A Randomized Controlled Trial Comparing the Efficacy and Safety of IDegLira Versus Basal-Bolus in Patients With Poorly Controlled Type 2 Diabetes and Very High HbA1c ≥9-15%: DUAL HIGH Trial.</t>
  </si>
  <si>
    <t xml:space="preserve">2022   Semiparametric Latent Class Analysis of Recurrent Event Data.</t>
  </si>
  <si>
    <t xml:space="preserve">2022   Pilot study of inflammatory biomarkers in matched induced sputum and bronchoalveolar lavage of 2-year-olds with cystic fibrosis.</t>
  </si>
  <si>
    <t xml:space="preserve">2022   Macrophage PD-1 associates with neutrophilia and reduced bacterial killing in early cystic fibrosis airway disease.</t>
  </si>
  <si>
    <t xml:space="preserve">2022   Efficacy and Safety of Intensive Versus Nonintensive Supplemental Insulin With a Basal-Bolus Insulin Regimen in Hospitalized Patients With Type 2 Diabetes: A Randomized Clinical Study.</t>
  </si>
  <si>
    <t xml:space="preserve">2022   Degludec hospital trial: A randomized controlled trial comparing insulin degludec U100 and glargine U100 for the inpatient management of patients with type 2 diabetes.</t>
  </si>
  <si>
    <t xml:space="preserve">2022   Continuous Glucose Monitoring-Guided Insulin Administration in Hospitalized Patients With Diabetes: A Randomized Clinical Trial.</t>
  </si>
  <si>
    <t xml:space="preserve">2022   Assessing dynamic covariate effects with survival data.</t>
  </si>
  <si>
    <t xml:space="preserve">2021   Sitagliptin for the prevention and treatment of perioperative hyperglycaemia in patients with type 2 diabetes undergoing cardiac surgery: A randomized controlled trial.</t>
  </si>
  <si>
    <t xml:space="preserve">2021   Remote Continuous Glucose Monitoring With a Computerized Insulin Infusion Protocol for Critically Ill Patients in a COVID-19 Medical ICU: Proof of Concept.</t>
  </si>
  <si>
    <t xml:space="preserve">2021   Quantile regression on inactivity time.</t>
  </si>
  <si>
    <t xml:space="preserve">2021   Quantile Regression for Survival Data.</t>
  </si>
  <si>
    <t xml:space="preserve">2021   Pregnant women with more seizures have lower allopregnanolone concentrations.</t>
  </si>
  <si>
    <t xml:space="preserve">2021   Liraglutide hospital discharge trial: A randomized controlled trial comparing the safety and efficacy of liraglutide versus insulin glargine for the management of patients with type 2 diabetes after hospital discharge.</t>
  </si>
  <si>
    <t xml:space="preserve">2021   Inpatient Glycemic Control With Sliding Scale Insulin in Noncritical Patients With Type 2 Diabetes: Who Can Slide?</t>
  </si>
  <si>
    <t xml:space="preserve">2021   Heterogeneous Individual Risk Modeling of Recurrent Events.</t>
  </si>
  <si>
    <t xml:space="preserve">2021   Functional and Transcriptional Adaptations of Blood Monocytes Recruited to the Cystic Fibrosis Airway Microenvironment In Vitro.</t>
  </si>
  <si>
    <t xml:space="preserve">2021   Estimation of causal quantile effects with a binary instrumental variable and censored data.</t>
  </si>
  <si>
    <t xml:space="preserve">2021   Continuous Glucose Monitoring in the Operating Room and Cardiac Intensive Care Unit.</t>
  </si>
  <si>
    <t xml:space="preserve">2021   Continuous Glucose Monitoring in the Intensive Care Unit During the COVID-19 Pandemic.</t>
  </si>
  <si>
    <t xml:space="preserve">2021   Causal Proportional Hazards Estimation with a Binary Instrumental Variable.</t>
  </si>
  <si>
    <t xml:space="preserve">2021   Association Between Achieving Inpatient Glycemic Control and Clinical Outcomes in Hospitalized Patients With COVID-19: A Multicenter, Retrospective Hospital-Based Analysis.</t>
  </si>
  <si>
    <t xml:space="preserve">2021   Assessing the Reproducibility of Microbiome Measurements Based on Concordance Correlation Coefficients.</t>
  </si>
  <si>
    <t xml:space="preserve">2021   Accuracy of Dexcom G6 Continuous Glucose Monitoring in Non-Critically Ill Hospitalized Patients With Diabetes.</t>
  </si>
  <si>
    <t xml:space="preserve">2020   Safety And Efficacy Of Dpp-4 Inhibitors For The Management Of Hospitalized General Medicine And Surgery Patients with Type 2 Diabetes.</t>
  </si>
  <si>
    <t xml:space="preserve">2020   Pulmonary Disease Burden in Primary Immune Deficiency Disorders: Data from USIDNET Registry.</t>
  </si>
  <si>
    <t xml:space="preserve">2020   Nonparametric estimation of broad sense agreement between ordinal and censored continuous outcomes.</t>
  </si>
  <si>
    <t xml:space="preserve">2020   Long-term changes in carbohydrate tolerance, insulin secretion and action in African-American patients with obesity and history of hyperglycemic crises.</t>
  </si>
  <si>
    <t xml:space="preserve">2020   GENERALIZED ACCELERATED RECURRENCE TIME MODEL IN THE PRESENCE OF A DEPENDENT TERMINAL EVENT.</t>
  </si>
  <si>
    <t xml:space="preserve">Sandhya Rajagopal   ·   PhD</t>
  </si>
  <si>
    <t xml:space="preserve">srajag9@emory.edu</t>
  </si>
  <si>
    <t xml:space="preserve">2026   Guiding Principles for Researchers to Use Culturally Responsive Language in Publications: An Example Regarding Autistic People</t>
  </si>
  <si>
    <t xml:space="preserve">2026   Clinical Correlates of Insomnia Symptoms in Young Children with Autism Spectrum Disorder.</t>
  </si>
  <si>
    <t xml:space="preserve">2025   Behavioral Skills Training for Active Shooter Scenarios Among Human Service Staff</t>
  </si>
  <si>
    <t xml:space="preserve">2025   Acceptability and Feasibility of Rapid Tube Weaning During Intensive Multidisciplinary Feeding Intervention.</t>
  </si>
  <si>
    <t xml:space="preserve">2025   Using Concealed Public Accompaniments to Teach Individuals to Tact Intensity.</t>
  </si>
  <si>
    <t xml:space="preserve">2022   Increasing conversations between older adults with dementia using textual stimuli.</t>
  </si>
  <si>
    <t xml:space="preserve">2021   Teaching children with autism to tact private events based on public accompaniments</t>
  </si>
  <si>
    <t xml:space="preserve">Matthew Gary   ·   MD; BS</t>
  </si>
  <si>
    <t xml:space="preserve">mfgary@emory.edu</t>
  </si>
  <si>
    <t xml:space="preserve">https://www.emoryhealthcare.org/providers/matthew-gary-779728</t>
  </si>
  <si>
    <t xml:space="preserve">2026   Continued Use of Bracing after Instrumented Lumbar Fusion: An International Study of Practice Patterns.</t>
  </si>
  <si>
    <t xml:space="preserve">2025   Decompression-Only for Lumbar Degenerative Spondylolisthesis - What are the Risk for Failure? - A Systematic Review.</t>
  </si>
  <si>
    <t xml:space="preserve">2025   Complement-dependent neuroinflammation in spinal cord injury: from pathology to therapeutic implications.</t>
  </si>
  <si>
    <t xml:space="preserve">2025   How Reliable is the Assessment of Fusion Status Following ACDF Using Dynamic Flexion-Extension Radiographs?</t>
  </si>
  <si>
    <t xml:space="preserve">2025   Surgeon Preferences Worldwide in Wound Drain Utilization in Open Lumbar Fusion Surgery for Degenerative Pathologies.</t>
  </si>
  <si>
    <t xml:space="preserve">2025   Longitudinal Syringomyelia, Cervical Dystonia, and Action Tremor in Trichorhinophalangeal Syndrome Type I - A Case Report.</t>
  </si>
  <si>
    <t xml:space="preserve">2024   Surgeon Preference Regarding Wound Dressing Management in Lumbar Fusion Surgery: An AO Spine Global Cross-Sectional Study.</t>
  </si>
  <si>
    <t xml:space="preserve">2023   Comparing Cortical Bone Trajectory and Traditional Pedicle Screws in Transforaminal Lumbar Interbody Fusion: A Retrospective Cohort Study of One-Year Outcomes.</t>
  </si>
  <si>
    <t xml:space="preserve">2022   Telemedicine in Spine Surgery: Outcomes for 138 Patients With Virtual Preoperative Assessment Compared to Historical Controls.</t>
  </si>
  <si>
    <t xml:space="preserve">2022   In Reply: Spinal Arachnoid Webs: Presentation, Natural History, and Outcomes in 38 Patients.</t>
  </si>
  <si>
    <t xml:space="preserve">2021   Early experience with oblique lateral interbody fusion (OLIF) with posterior percutaneous screw placement (OLIFwPPS): Case series with clinical and radiographic outcomes</t>
  </si>
  <si>
    <t xml:space="preserve">2020   Letter: Neurosurgical Management of Spinal Pathology Via Telemedicine During the COVID-19 Pandemic: Early Experience and Unique Challenges.</t>
  </si>
  <si>
    <t xml:space="preserve">2020   Letter: Maintaining Neurosurgical Resident Education and Safety During the COVID-19 Pandemic.</t>
  </si>
  <si>
    <t xml:space="preserve">2020   Book Review: Cervical Spine Deformity Surgery</t>
  </si>
  <si>
    <t xml:space="preserve">2019   Atlantoaxial pseudoarticulation as a cause of neck pain: Case illustration</t>
  </si>
  <si>
    <t xml:space="preserve">2019   Book Review: AOSpine Masters Series, Volume 10: Spinal Infections</t>
  </si>
  <si>
    <t xml:space="preserve">2018   Biological enhancers of fusion</t>
  </si>
  <si>
    <t xml:space="preserve">2017   Letter: Surfer’s myelopathy: A rare form of spinal cord infarction in novice surfers: A systematic review</t>
  </si>
  <si>
    <t xml:space="preserve">2017   Effect of perioperative steroids on dysphagia after anterior cervical spine surgery: A systematic review</t>
  </si>
  <si>
    <t xml:space="preserve">2017   Book Review: Physical Examination of the Spine</t>
  </si>
  <si>
    <t xml:space="preserve">2017   Book Review: AOSpine Masters Series, Volume 8: Back Pain</t>
  </si>
  <si>
    <t xml:space="preserve">2015   Thoracic lateral extracavitary corpectomy for anterior column reconstruction with expandable and static titanium cages: Clinical outcomes and surgical considerations in a consecutive case series</t>
  </si>
  <si>
    <t xml:space="preserve">2014   Lim mineralization protein-1 knockout mice have reduced spine trabecular bone density on microcomputed tomography due to decreased bone morphogenetic protein responsiveness</t>
  </si>
  <si>
    <t xml:space="preserve">2013   Spinal cord infarction following minor trauma in children: Fibrocartilaginous embolism as a putative cause: Report of 3 cases</t>
  </si>
  <si>
    <t xml:space="preserve">2009   Depressive symptoms in Parkinson disease correlate with impaired global and specific cognitive performance</t>
  </si>
  <si>
    <t xml:space="preserve">James Morgan   ·   MD</t>
  </si>
  <si>
    <t xml:space="preserve">jwmorg4@emory.edu</t>
  </si>
  <si>
    <t xml:space="preserve">2024   Intrathecal Digoxin Administration During Spinal Anesthesia: A Case Report Outlining Recovery and Rehabilitation.</t>
  </si>
  <si>
    <t xml:space="preserve">2022   Evaluation of individual and ensemble probabilistic forecasts of COVID-19 mortality in the United States.</t>
  </si>
  <si>
    <t xml:space="preserve">2018   Pregnancy Outcomes Reported During the 13-Year TREAT Registry: A Descriptive Report.</t>
  </si>
  <si>
    <t xml:space="preserve">Octav Cristea   ·   MD</t>
  </si>
  <si>
    <t xml:space="preserve">ocriste@emory.edu</t>
  </si>
  <si>
    <t xml:space="preserve">https://www.emoryhealthcare.org/providers/octav-cristea-813672</t>
  </si>
  <si>
    <t xml:space="preserve">Dr. Cristea received his medical degree from the Schulich School of Medicine &amp; Dentistry at Western University in Ontario, Canada, after which he completed his urology residency at the University of Ottawa. He joined our faculty after completing his fellowship in abdominal transplant surgery at the Emory Transplant Center in 2020. Dr. Cristea's clinical practice focuses on kidney and pancreas transplantation, with a special interest in urologic issues in the transplant population. His recent research has explored increasing the number of organs available for transplantation by utilizing kidneys from donors with small renal masses. During his fellowship, he also presented an award-winning abstract at the 2020 American Transplant Congress that investigated the relationship between belatacept immunosuppression, rejection, and emergence of donor-specific antibodies in Emory's kidney transplant patient population, the largest real-world group treated with belatacept. Dr. Cristea's articles have been published in several leading journals, including the Canadian Medical Association Journal, Canadian Urological Association Journal, and Transplantation. In addition to his work in the fields of transplantation and urology, Dr. Cristea has also published on the radiation and genitourinary effects of human space flight, contributing chapters to leading texts, including Principles of Clinical Medicine for Space Flight and Fundamentals of Aerospace Medicine.</t>
  </si>
  <si>
    <t xml:space="preserve">2025   Early Post-Transplant Renal Recovery Trajectory and Trajectory Velocity Functions Are Predictors of Estimated GFR at 1 Year: A Functional Data Analysis Approach.</t>
  </si>
  <si>
    <t xml:space="preserve">2021   Urologic Innovation in the Spaceflight Environment: Challenges, Opportunities, and Future Directions</t>
  </si>
  <si>
    <t xml:space="preserve">2021   Every 2-month belatacept maintenance therapy in kidney transplant recipients greater than 1-year posttransplant: A randomized, noninferiority trial.</t>
  </si>
  <si>
    <t xml:space="preserve">2021   Belatacept Conversion in Kidney After Liver Transplantation.</t>
  </si>
  <si>
    <t xml:space="preserve">2021   Space Radiation Protection Countermeasures in Microgravity and Planetary Exploration.</t>
  </si>
  <si>
    <t xml:space="preserve">2019   Renal and Genitourinary Concerns</t>
  </si>
  <si>
    <t xml:space="preserve">2019   Radiation and Radiation Disorders</t>
  </si>
  <si>
    <t xml:space="preserve">Amita Shroff   ·   MD</t>
  </si>
  <si>
    <t xml:space="preserve">ashrof3@emory.edu</t>
  </si>
  <si>
    <t xml:space="preserve">https://www.choa.org/doctors/amita-shroff</t>
  </si>
  <si>
    <t xml:space="preserve">GenderFemaleLanguageEnglish, French, Hindi, Urdu Medical School:State University of NY Downstate Medical CenterResidency:Long Island Jewish Medical CenterFellowship:Long Island Jewish Medical Center Childrens Physician Group - Sedation Services Arthur M. Blank Hospital, 2220 North Druid Hills Road NEAtlanta, GA 30329Get Directions404-785-6397 Childrens Physician Group - Emergency Medicine Arthur M.</t>
  </si>
  <si>
    <t xml:space="preserve">2016   Emergency Department Return Visits Resulting in Admission: Do They Reflect Quality of Care?</t>
  </si>
  <si>
    <t xml:space="preserve">jfinaz2@emory.edu</t>
  </si>
  <si>
    <t xml:space="preserve">2021   Using qualitative descriptors of chronic liver disease on MRI: A practice prone to error.</t>
  </si>
  <si>
    <t xml:space="preserve">lmill31@emory.edu</t>
  </si>
  <si>
    <t xml:space="preserve">https://www.emoryhealthcare.org/providers/lauren-millett-2248018</t>
  </si>
  <si>
    <t xml:space="preserve">Lauren C. Millett, MD, is an OBGYN at Emory Healthcare. Dr. Millett attended medical school at the University of Washington School of Medicine. She completed her residency in obstetrics and gynecology at the University of Connecticut. She came to Atlanta to complete her fellowship in advanced pelvic surgery at Emory University. Dr. Millett’s clinical research focuses on gynecologic malignancies and health disparities in oncology. In her free time, Dr. Millett is a world traveler. She loves to explore new cultures and adventure outdoors. You’ll also find her lost in a good book or trying a new recipe in her kitchen.</t>
  </si>
  <si>
    <t xml:space="preserve">Hananeh Fonoudi   ·   Ph.D.</t>
  </si>
  <si>
    <t xml:space="preserve">hfonoud@emory.edu</t>
  </si>
  <si>
    <t xml:space="preserve">https://winshipcancer.emory.edu/profiles/fonoudi-hananeh.php</t>
  </si>
  <si>
    <t xml:space="preserve">Hananeh Fonoudi, PhD, is an assistant professor in the Department of Pediatrics and the Children’s Heart Research and Outcomes Center at Emory University School of Medicine. She is a member of the Cell and Molecular Biology Research Program at Winship Cancer Institute of Emory University. Dr. Fonoudi earned her doctorate from the University of New South Wales and the Victor Chang Cardiac Research Institute in Australia. She received her master’s degree from the University of Tehran in Iran and completed her postdoctoral research at Northwestern University Feinberg School of Medicine in Chicago, Illinois. Assistant Professor, Department of Pediatrics</t>
  </si>
  <si>
    <t xml:space="preserve">pforfia@emory.edu</t>
  </si>
  <si>
    <t xml:space="preserve">https://www.emoryhealthcare.org/providers/paul-robert-forfia-4853230</t>
  </si>
  <si>
    <t xml:space="preserve">Paul Forfia, MD joins Emory Healthcare as the Director of the Pulmonary Hypertension, Right Heart Failure &amp; Chronic Thromboembolic Pulmonary Hypertension (CTEPH) program at Emory Heart and Vascular. Dr. Forfia is internationally recognized for his expertise in pulmonary hypertension/right heart function, the assessment of complex causes of shortness of breath and chronic blood clots in the lung. Dr. Forfia’s early work centered around the use of echocardiography to evaluate the right heart and noninvasive differentiation of differing causes of pulmonary hypertension. His innovative research in these areas has helped thousands of patients and influenced the pulmonary hypertension academic and clinical community across generations. Dr. Forfia is an innovator in the application of exercise testing in combination with heart catheterization to uncover subtle cases of pulmonary hypertension and complex causes of dyspnea. He is also widely recognized for his clinical and research expertise in chronic thromboembolic disease. Prior to his arrival at Emory, Dr. Forfia founded and was integral to building one of the premier CTEPH programs in the country. He earned both his Master’s in Physiology and MD fromNew York Medical College, followed by residency in internal medicine and dual fellowships in cardiovascular disease and advanced heart failure/transplantation at The Johns Hopkins Hospital. Dr. Forfia’s extensive education and training in cardiovascular and cardiopulmonary physiology forms the basis for his clinical and research expertise. He is widely published, with more than 100 peer-reviewed articles and book chaptersand serves on editorial boards and as a reviewer for several high-impact journals. A frequent invited speaker at national and international scientific meetings, Dr. Forfia has contributed significantly to educational and consensus efforts in the pulmonary hypertension community. His collaborative work has helped shape many diagnostic and therapeutic approaches for pulmonary hypertension, right heart function assessment and CTEPH. Emory Clinic - School of Medicine Faculty Emory Heart &amp; Vascular Center at Clifton Campus</t>
  </si>
  <si>
    <t xml:space="preserve">2026   Outpatient Point-of-Care Cardiopulmonary Exercise Testing in Chronic Thromboembolic Pulmonary Disease: A Single-Center Experience.</t>
  </si>
  <si>
    <t xml:space="preserve">patricia.vega-fernandez@emory.edu</t>
  </si>
  <si>
    <t xml:space="preserve">Titles (16)</t>
  </si>
  <si>
    <t xml:space="preserve">2026   Validation of the Pediatric Arthritis Ultrasound Scoring System for the Elbow, Wrist, and Finger Joints in Children With Juvenile Idiopathic Arthritis</t>
  </si>
  <si>
    <t xml:space="preserve">2026   Musculoskeletal and nail ultrasound findings in children with psoriasis: a case-control study</t>
  </si>
  <si>
    <t xml:space="preserve">2024   Validation of the ankle-specific pediatric arthritis ultrasound scoring system in children with juvenile idiopathic arthritis</t>
  </si>
  <si>
    <t xml:space="preserve">2024   Needs Assessment of Musculoskeletal Ultrasound Training in North American Pediatric Rheumatology Fellowship Programs</t>
  </si>
  <si>
    <t xml:space="preserve">2024   Diagnostic Accuracy Study of the Pediatric‐Specific Ultrasound Scoring System for the Knee Joint in Children With Juvenile Idiopathic Arthritis</t>
  </si>
  <si>
    <t xml:space="preserve">2023   Reliability of the Pediatric Specific Musculoskeletal Ultrasound Scoring Systems for the Elbow, Wrist, and Finger Joints</t>
  </si>
  <si>
    <t xml:space="preserve">2023   Lung Ultrasound in Children With Systemic Juvenile Idiopathic Arthritis–Associated Interstitial Lung Disease</t>
  </si>
  <si>
    <t xml:space="preserve">2023   Comprehensive and reliable sonographic assessment and scoring system for inflammatory lesions of the paediatric ankle</t>
  </si>
  <si>
    <t xml:space="preserve">2023   Musculoskeletal Ultrasound in Childhood Arthritis Limited Examination: A Comprehensive, Reliable, Time-Efficient Assessment of Synovitis.</t>
  </si>
  <si>
    <t xml:space="preserve">2023   Musculoskeletal Ultrasound and the Assessment of Disease Activity in Juvenile Idiopathic Arthritis.</t>
  </si>
  <si>
    <t xml:space="preserve">2022   Immunometabolic Analysis of Synovial Fluid from Juvenile Idiopathic Arthritis Patients.</t>
  </si>
  <si>
    <t xml:space="preserve">2021   Lupus Mesenteric Vasculitis: A Rare Initial Presentation of Pediatric Systemic Lupus Erythematosus.</t>
  </si>
  <si>
    <t xml:space="preserve">2020   CD3 downregulation on T-cells is concomitant with arginase upregulation on myeloid cells in the synovial fluid of patients with juvenile idopathic arthritis</t>
  </si>
  <si>
    <t xml:space="preserve">2019   Novel Ultrasound Image Acquisition Protocol and Scoring System for the Pediatric Knee.</t>
  </si>
  <si>
    <t xml:space="preserve">2017   Challenges of Diagnosing Cognitive Dysfunction With Neuropsychiatric Systemic Lupus Erythematosus in Childhood.</t>
  </si>
  <si>
    <t xml:space="preserve">2017   Preliminary Definitions for the Sonographic Features of Synovitis in Children.</t>
  </si>
  <si>
    <t xml:space="preserve">Adam Gracz   ·   PhD; MS; BA</t>
  </si>
  <si>
    <t xml:space="preserve">agracz@emory.edu</t>
  </si>
  <si>
    <t xml:space="preserve">https://winshipcancer.emory.edu/profiles/gracz-adam.php</t>
  </si>
  <si>
    <t xml:space="preserve">Adam D. Gracz, PhD, is an assistant professor in the Division of Digestive Diseases in the Department of Medicine at Emory University School of Medicine in Atlanta, Georgia. Dr. Gracz is a member of the Cell and Molecular Biology Research Program at Winship Cancer Institute. He is also a member of the Biochemistry, Cell and Developmental Biology, and Genetics and Molecular Biology graduate programs at Emory University. Dr. Gracz received his PhD and his Master of Science from University of North Carolina at Chapel Hill. He completed his postdoctoral training at University of Pennsylvania and at University of North Carolina at Chapel Hill. Assistant Professor, Division of Digestive Diseases, Department of Medicine</t>
  </si>
  <si>
    <t xml:space="preserve">2026   Quantitative 3D Imaging of Mouse and Human Intrahepatic Bile Ducts in Homeostasis and Liver Injury</t>
  </si>
  <si>
    <t xml:space="preserve">2026   Chromatin State Distinguishes Injury-Responsive from State-Stabilizing Transcriptional Programs in Hybrid Hepatocytes</t>
  </si>
  <si>
    <t xml:space="preserve">2025   Sox9 inhibits Activin A to promote biliary maturation and branching morphogenesis</t>
  </si>
  <si>
    <t xml:space="preserve">2025   Tet1 safeguards lineage allocation in intestinal stem cells</t>
  </si>
  <si>
    <t xml:space="preserve">Tritrichomonas muris sensitizes the intestinal epithelium to doxorubicin-induced apoptosis</t>
  </si>
  <si>
    <t xml:space="preserve">Mary Carlton   ·   BS</t>
  </si>
  <si>
    <t xml:space="preserve">mscarlt@emory.edu</t>
  </si>
  <si>
    <t xml:space="preserve">https://med.emory.edu/directory/profile/?u=MSCARLT</t>
  </si>
  <si>
    <t xml:space="preserve">Mary S. Carlton, OD Assistant Professor of Ophthalmology Section of Comprehensive Ophthalmology Mary S. Carlton, OD, is an assistant professor of ophthalmology in the section of Comprehensive Ophthalmology, Vision and Optical Services, at Emory Eye Center. Her concentration is in primary eye care and the fitting of contact lenses in both adults and children. Prior to her work at Emory Eye Center, Dr. Carlton worked as a staff optometrist for the University of Wisconsin in Madison; as director of vision services for the University of Utah in Salt Lake City; as a lieutenant in the United States Navy, stationed at Oakland Naval Hospital in Oakland, California; and in private practice in East Point, Georgia. National Recognition Dr. Carlton is board certified and has been chairman of the American Board of Optometry Item Reviewers Committee and a member of the Examination Development Committee. She is a member of the American Optometric and the Georgia Optometric associations. She volunteers regularly at the Clarkston Community Health Center in Atlanta, Georgia and with Remote Area Medical which provides eye exams for the uninsured throughout the United States. Areas of Clinical Interest • Comprehensive eye examinations • Fitting of contact lenses in adults and children</t>
  </si>
  <si>
    <t xml:space="preserve">Chrissy Lopez   ·   MD; BS</t>
  </si>
  <si>
    <t xml:space="preserve">calope2@emory.edu</t>
  </si>
  <si>
    <t xml:space="preserve">https://www.choa.org/doctors/chrissy-ann-lopez</t>
  </si>
  <si>
    <t xml:space="preserve">Medical School:University of Pittsburgh School of MedicineResidency:University of Michigan CS Mott Children's HospitalFellowship:Emory University School of MedicineEmory University School of Medicine Childrens Physician Group - Gastroenterology Childrens at Town Center, 605 Big Shanty Road NWKennesaw, GA 30144Get Directions404-785-5437 Childrens Healthcare of Atlanta - Liver Transplant</t>
  </si>
  <si>
    <t xml:space="preserve">2025   Altered inflammatory mucosal signatures within their spatial and cellular context during active ileal Crohn's disease.</t>
  </si>
  <si>
    <t xml:space="preserve">2021   Ischemia reperfusion injury induces pyroptosis and mediates injury in steatotic liver thorough Caspase 1 activation.</t>
  </si>
  <si>
    <t xml:space="preserve">George R. Beck Jr.   ·   PhD</t>
  </si>
  <si>
    <t xml:space="preserve">Medicine (SOM)
CF-AIR (CHOA)
PTC (CHOA)
Cancer Prevention &amp; Control (Winship)</t>
  </si>
  <si>
    <t xml:space="preserve">gbeck2@emory.edu</t>
  </si>
  <si>
    <t xml:space="preserve">https://med.emory.edu/directory/profile/?u=GBECK2</t>
  </si>
  <si>
    <t xml:space="preserve">Dr. Beck completed his postdoctoral training at Temple University in the laboratory of Dr. Elizabeth Moran focusing on cell growth and differentiation. He then went to be an NCI Scholar (CA84573) at the National Cancer Institute, Center for Cancer Research, Laboratory of Cancer Prevention in Frederick, MD. He joined Emory in 2005. Research Dr. Beck's research efforts include: Studying the effects of Thiazolidinediones on Marrow Stem Cells and Bone Quality in Diabetic Subjects. Thiazolidinediones (TZDs) are commonly prescribed oral agents for the treatment of diabetes. They act as agonists for the peroxisome proliferator-activated receptor-gamma (PPAR-?) which regulates the transcription of several genes, encoding proteins that modulate glucose and lipid metabolism, as well as genes that promote differentiation of adipocytes. Recent studies have reported an association between TZD treatment and an increased risk of fractures in patients with prediabetes and type 2 diabetes. The underlying mechanisms for this association are not known. Dr. Beck, in collaboration with Drs. Guillermo Umpierrez and Natasha Khazai (Emory and Grady Hospital), is currently investigating the mechanism(s) by which TZDs alter bone quality in diabetic subjects with a focus on the effect of TZDs on osteoblasts, adipocytes and osteoclasts. Studying the inorganic phosphate regulated proliferation, transformation and tumorigenesis. Over the past decade, Dr. Beck and his collaborators have studied the mechanisms by which elevated inorganic phosphate regulates both mineralization by osteoblasts and enhanced proliferation associated with a number of cancer models. Recent studies have extended these cell culture studies to begin to define the potential risk of increased dietary phosphate consumption on cancer risks in mouse models. Currently, the research is focused on elucidating how changes in serum phosphate regulate a number of disease states including cancer and osteoporosis and planned studies include incorporating cardiovascular disease and diabetes. Although it is becoming increasingly apparent that diet can have profound effects on functional genomics, to date the molecular and cellular responses to changes in serum Pi levels have only begun to be investigated. Studying the Biological Actions and Cellular Targeting of Nanoparticles for Medical Applications. The unique combination of semi-structured extracellular matrix, biomechanical properties, and active remodeling makes bone a unique tissue particularly suited for targeting by nanoparticles. Dr. Beck and colleagues, Dr. Neale Weitzmann (Emory) and Dr. Jin-Kyu Lee at Seoul National University in Korea, are investigating the molecular and cellular mechanisms by which specific silica–based nanoparticles regulate bone cell metabolism including the identification of specific intracellular mechanisms by which the particles influence cell behavior. One particular novel nanoparticle formulation possesses a potent stimulatory effect on the formation of osteoblasts, the cells responsible for bone formation, and concomitant inhibitory effect on the formation of osteoclasts, the cells responsible for bone breakdown (resorption). This nanoparticle therefore, may have the potential to be developed into a powerful dual anticatabolic and proanabolic agent for the treatment of numerous osteoporotic diseases.</t>
  </si>
  <si>
    <t xml:space="preserve">2026   Sustained and reversible effects of a dietary phosphate intake on bone and mineral metabolism during aging</t>
  </si>
  <si>
    <t xml:space="preserve">2023   Dietary phosphorus consumption alters T cell populations, cytokine production, and bone volume in mice</t>
  </si>
  <si>
    <t xml:space="preserve">2023   Bioactive silica nanoparticles target autophagy, NF-κB, and MAPK pathways to inhibit osteoclastogenesis</t>
  </si>
  <si>
    <t xml:space="preserve">2023   Sclerostin small-molecule inhibitors promote osteogenesis by activating canonical Wnt and BMP pathways</t>
  </si>
  <si>
    <t xml:space="preserve">2021   Guidelines for the use and interpretation of assays for monitoring autophagy (4th edition)1</t>
  </si>
  <si>
    <t xml:space="preserve">2021   Modulating phosphate consumption, a novel therapeutic approach for the control of cancer cell proliferation and tumorigenesis.</t>
  </si>
  <si>
    <t xml:space="preserve">2020   Effects of phosphorus and calcium to phosphorus consumption ratio on mineral metabolism and cardiometabolic health.</t>
  </si>
  <si>
    <t xml:space="preserve">2018   CTLA-4Ig (abatacept) balances bone anabolic effects of T cells and Wnt-10b with antianabolic effects of osteoblastic sclerostin.</t>
  </si>
  <si>
    <t xml:space="preserve">2018   Bioactive effects of silica nanoparticles on bone cells are size, surface, and composition dependent.</t>
  </si>
  <si>
    <t xml:space="preserve">2017   Nano-Hydroxyapatite Stimulation of Gene Expression Requires Fgf Receptor, Phosphate Transporter, and Erk1/2 Signaling.</t>
  </si>
  <si>
    <t xml:space="preserve">2017   Synthesis of pH stable, blue light-emitting diode-excited, fluorescent silica nanoparticles and effects on cell behavior.</t>
  </si>
  <si>
    <t xml:space="preserve">2016   Guidelines for the use and interpretation of assays for monitoring autophagy (3rd edition).</t>
  </si>
  <si>
    <t xml:space="preserve">2015   Inorganic phosphate induces cancer cell mediated angiogenesis dependent on forkhead box protein C2 (FOXC2) regulated osteopontin expression.</t>
  </si>
  <si>
    <t xml:space="preserve">2015   Nano-hydroxyapatite modulates osteoblast lineage commitment by stimulation of DNA methylation and regulation of gene expression.</t>
  </si>
  <si>
    <t xml:space="preserve">2015   Impact of Phosphorus-Based Food Additives on Bone and Mineral Metabolism.</t>
  </si>
  <si>
    <t xml:space="preserve">2015   Bioactive silica nanoparticles reverse age-associated bone loss in mice.</t>
  </si>
  <si>
    <t xml:space="preserve">2014   Bio-active engineered 50 nm silica nanoparticles with bone anabolic activity: therapeutic index, effective concentration, and cytotoxicity profile in vitro.</t>
  </si>
  <si>
    <t xml:space="preserve">2013   The effects of thiazolidinediones on human bone marrow stromal cell differentiation in vitro and in thiazolidinedione-treated patients with type 2 diabetes.</t>
  </si>
  <si>
    <t xml:space="preserve">Katherine Sorrentino   ·   MD</t>
  </si>
  <si>
    <t xml:space="preserve">kmsorre@emory.edu</t>
  </si>
  <si>
    <t xml:space="preserve">2018   A Metadata Analysis of Oxidative Stress Etiology in Preclinical Amyotrophic Lateral Sclerosis: Benefits of Antioxidant Therapy.</t>
  </si>
  <si>
    <t xml:space="preserve">Robert Bonsall   ·   PhD</t>
  </si>
  <si>
    <t xml:space="preserve">rbonsal@emory.edu</t>
  </si>
  <si>
    <t xml:space="preserve">2014   Contractile force is enhanced in Aortas from pendrin null mice due to stimulation of angiotensin II-dependent signaling.</t>
  </si>
  <si>
    <t xml:space="preserve">2010   Genotype-controlled analysis of serum dopamine β-hydroxylase activity in civilian post-traumatic stress disorder.</t>
  </si>
  <si>
    <t xml:space="preserve">2008   Platelet thromboxane A2 secretion in patients with major depression responsive to electroconvulsive therapy.</t>
  </si>
  <si>
    <t xml:space="preserve">2004   Pituitary-adrenal responses to standard and low-dose dexamethasone suppression tests in adult survivors of child abuse.</t>
  </si>
  <si>
    <t xml:space="preserve">2003   Cerebrospinal fluid corticotropin-releasing factor (CRF) and vasopressin concentrations predict pituitary response in the CRF stimulation test: a multiple regression analysis.</t>
  </si>
  <si>
    <t xml:space="preserve">2002   Plasma hormones and catecholamine metabolites in monozygotic twins discordant for psychosis.</t>
  </si>
  <si>
    <t xml:space="preserve">1992   Effects of the nonsteroidal aromatase inhibitor, Fadrozole, on sexual behavior in male rats.</t>
  </si>
  <si>
    <t xml:space="preserve">1992   Developmental changes in the uptake of testosterone by the primate brain.</t>
  </si>
  <si>
    <t xml:space="preserve">1992   Some contrasting effects of surgical and "chemical" castration on the behavior of male cynomolgus monkeys (Macaca fascicularis).</t>
  </si>
  <si>
    <t xml:space="preserve">1983   A computerized system for scoring primate behavior using standard keyboards.</t>
  </si>
  <si>
    <t xml:space="preserve">1980   The externalization of vaginal fatty acids by the female rhesus monkey</t>
  </si>
  <si>
    <t xml:space="preserve">Ravi Mangal Patel   ·   MD; MSc; BS</t>
  </si>
  <si>
    <t xml:space="preserve">rmpatel@emory.edu</t>
  </si>
  <si>
    <t xml:space="preserve">https://med.emory.edu/directory/profile/?u=RMPATEL</t>
  </si>
  <si>
    <t xml:space="preserve">Ravi Patel is the Ann Davidson Critz Professor of Neonatal Medicine and Director of Neonatal Clinical Research at Emory University and Children's Healthcare of Atlanta. He is passionate about evidence-based neonatology. His research interests include clinical trials, blood transfusion, necrotizing enterocolitis, and caffeine therapy. He is a principal investigator in the NICHD Neonatal Research Network and co-Principal Investigator for the Neonatal Platelet Transfusion Threshold Trial (NeoPlaTT), which is an NHLBI-funded clincial trial being conducted at 21 US centers. He is the past-chair of the International Society for Evidence-Based Neonatology (EBNEO), executive committee member of the American Academy of Pediatrics, Section on Neonatal-Perinatal Medicine and an elected member of the Society for Pediatric Research and American Pediatric Society.</t>
  </si>
  <si>
    <t xml:space="preserve">NICHD Neonatal Research Network
1/2 Neonatal Platelet Transfusion Threshold Trial (NeoPlaTT)</t>
  </si>
  <si>
    <t xml:space="preserve">Titles (61)</t>
  </si>
  <si>
    <t xml:space="preserve">2026   Platelet transfusion thresholds for thrombocytopenic infants.</t>
  </si>
  <si>
    <t xml:space="preserve">2026   Probiotics and necrotizing enterocolitis in preterm infants after the food and drug administration warning actions.</t>
  </si>
  <si>
    <t xml:space="preserve">2026   Red Blood Cell Transfusion Characteristics and Morbidity or Mortality in Very-Low-Birth-Weight Infants.</t>
  </si>
  <si>
    <t xml:space="preserve">2026   Trends in admissions and costs for neonatal intensive care in US children's hospitals, 2017-2022.</t>
  </si>
  <si>
    <t xml:space="preserve">2026   International classification of diseases codes have low positive predictive value for neonatal morbidities.</t>
  </si>
  <si>
    <t xml:space="preserve">2026   Compressing neonatal-perinatal medicine fellowship training: a critical appraisal of the American Board of Pediatrics proposed 2-year pathway.</t>
  </si>
  <si>
    <t xml:space="preserve">2026   Developing a prioritized research agenda for necrotizing enterocolitis.</t>
  </si>
  <si>
    <t xml:space="preserve">2026   Epidemiology of Pediatric Transfusion Reactions.</t>
  </si>
  <si>
    <t xml:space="preserve">2026   Critical thinking in red blood cell transfusion decisions: Donor, product, recipient, and outcomes.</t>
  </si>
  <si>
    <t xml:space="preserve">2026   Approaches to red blood cell transfusion for the very low birth weight infant.</t>
  </si>
  <si>
    <t xml:space="preserve">2026   Neonatal transfusion practice: undesired variation or personalised medicine?</t>
  </si>
  <si>
    <t xml:space="preserve">2026   Blood collection establishments' partnerships with human milk banks: An operational diversification and community service avenue.</t>
  </si>
  <si>
    <t xml:space="preserve">2026   Expectant Management vs Medication for Patent Ductus Arteriosus in Preterm Infants: The PDA Randomized Clinical Trial.</t>
  </si>
  <si>
    <t xml:space="preserve">2026   Artificial intelligence and the future of the pharmacist's role in drug information.</t>
  </si>
  <si>
    <t xml:space="preserve">2026   Pre-Transfusion Platelet Counts and Bleeding in Very Low Birth Weight Infants.</t>
  </si>
  <si>
    <t xml:space="preserve">2026   Packed red blood cell transfusion in the very low birth weight infant: Aggressive, conservative, or neither?</t>
  </si>
  <si>
    <t xml:space="preserve">2025   Short Duration of Antenatal Corticosteroid Exposure and Outcomes in Extremely Preterm Infants.</t>
  </si>
  <si>
    <t xml:space="preserve">2024   Sex differences in the association of pretransfusion haemoglobin and cognition in preterm infants.</t>
  </si>
  <si>
    <t xml:space="preserve">2024   Neonatal and Obstetric Provider Perceptions and Management at 22 Weeks' Gestation.</t>
  </si>
  <si>
    <t xml:space="preserve">2024   Clinical Practice Guideline for Red Blood Cell Transfusion Thresholds in Very Preterm Neonates.</t>
  </si>
  <si>
    <t xml:space="preserve">2023   Understanding the WHEN, WHAT, and WHY of Neonatal Transfusion Medicine.</t>
  </si>
  <si>
    <t xml:space="preserve">2023   Probiotics, Prebiotics, and Lactoferrin-Implications for Preterm Mortality and Morbidity.</t>
  </si>
  <si>
    <t xml:space="preserve">2023   Probiotics for prevention of necrotizing enterocolitis: Where do we stand?</t>
  </si>
  <si>
    <t xml:space="preserve">2023   Long-term outcomes and life-impacts of necrotizing enterocolitis: A survey of survivors and parents.</t>
  </si>
  <si>
    <t xml:space="preserve">2023   Evaluation of heterogeneity in effect of therapeutic hypothermia by sex among infants with neonatal encephalopathy.</t>
  </si>
  <si>
    <t xml:space="preserve">2023   Blood Donor Sex and Outcomes in Transfused Infants.</t>
  </si>
  <si>
    <t xml:space="preserve">2023   Antiseizure medication at discharge in infants with hypoxic-ischaemic encephalopathy: an observational study.</t>
  </si>
  <si>
    <t xml:space="preserve">2022   The center-effect on outcomes for infants born at less than 25 weeks.</t>
  </si>
  <si>
    <t xml:space="preserve">2022   Pulmonary Hypertension in Preterm Infants Treated With Laser vs Anti-Vascular Endothelial Growth Factor Therapy for Retinopathy of Prematurity.</t>
  </si>
  <si>
    <t xml:space="preserve">2022   Patterns of acute kidney and hepatic injury and association with adverse outcomes in infants undergoing therapeutic hypothermia for hypoxic ischemic encephalopathy.</t>
  </si>
  <si>
    <t xml:space="preserve">2022   Association of Antenatal Steroid Exposure at 21 to 22 Weeks of Gestation With Neonatal Survival and Survival Without Morbidities.</t>
  </si>
  <si>
    <t xml:space="preserve">2021   Use of Probiotics to Prevent Necrotizing Enterocolitis: Evidence to Clinical Practice.</t>
  </si>
  <si>
    <t xml:space="preserve">2021   Probiotics for Preterm Infants: Which One(s) to Choose?</t>
  </si>
  <si>
    <t xml:space="preserve">2020   Transfusion-related Gut Injury and Necrotizing Enterocolitis.</t>
  </si>
  <si>
    <t xml:space="preserve">2020   Defining necrotizing enterocolitis: current difficulties and future opportunities.</t>
  </si>
  <si>
    <t xml:space="preserve">2020   Caffeine for preterm infants: Fixed standard dose, adjustments for age or high dose?</t>
  </si>
  <si>
    <t xml:space="preserve">2020   Blood product transfusion and mortality in neonatal extracorporeal membrane oxygenation.</t>
  </si>
  <si>
    <t xml:space="preserve">2019   Utilising social media to educate and inform healthcare professionals, policy-makers and the broader community in evidence-based healthcare.</t>
  </si>
  <si>
    <t xml:space="preserve">2019   To start or not: Factors to consider when implementing routine probiotic use in the NICU.</t>
  </si>
  <si>
    <t xml:space="preserve">2019   Observational study of cytomegalovirus from breast milk and necrotising enterocolitis.</t>
  </si>
  <si>
    <t xml:space="preserve">2019   Neonatal and pediatric platelet transfusions: current concepts and controversies.</t>
  </si>
  <si>
    <t xml:space="preserve">2019   Is early caffeine therapy safe and effective for ventilated preterm infants?</t>
  </si>
  <si>
    <t xml:space="preserve">2019   Epidemiology of Necrotizing Enterocolitis: New Considerations Regarding the Influence of Red Blood Cell Transfusions and Anemia.</t>
  </si>
  <si>
    <t xml:space="preserve">2019   Enteral iron supplementation, red blood cell transfusion, and risk of bronchopulmonary dysplasia in very-low-birth-weight infants.</t>
  </si>
  <si>
    <t xml:space="preserve">2018   Routine Supplementation of Lactobacillus rhamnosus GG and Risk of Necrotizing Enterocolitis in Very Low Birth Weight Infants.</t>
  </si>
  <si>
    <t xml:space="preserve">2018   Probiotics and necrotizing enterocolitis.</t>
  </si>
  <si>
    <t xml:space="preserve">2018   Optimizing Caffeine Use and Risk of Bronchopulmonary Dysplasia in Preterm Infants: A Systematic Review, Meta-analysis, and Application of Grading of Recommendations Assessment, Development, and Evaluation Methodology.</t>
  </si>
  <si>
    <t xml:space="preserve">2018   Collaboratively Understanding and Improving Outcomes for the Mother, Fetus, and Infant.</t>
  </si>
  <si>
    <t xml:space="preserve">2018   A critical analysis of risk factors for necrotizing enterocolitis.</t>
  </si>
  <si>
    <t xml:space="preserve">2017   Survival of Infants Born at Periviable Gestational Ages.</t>
  </si>
  <si>
    <t xml:space="preserve">2017   Does fluconazole prophylaxis reduce death or invasive candida infection in extremely preterm infants?</t>
  </si>
  <si>
    <t xml:space="preserve">2017   Does early treatment with inhaled budesonide prevent death or bronchopulmonary dysplasia in extremely preterm infants?</t>
  </si>
  <si>
    <t xml:space="preserve">2016   The Role of Caffeine in Noninvasive Respiratory Support.</t>
  </si>
  <si>
    <t xml:space="preserve">2016   Short- and Long-Term Outcomes for Extremely Preterm Infants.</t>
  </si>
  <si>
    <t xml:space="preserve">2016   Research Opportunities to Improve Neonatal Red Blood Cell Transfusion.</t>
  </si>
  <si>
    <t xml:space="preserve">2016   Preoperative Anemia and Neonates.</t>
  </si>
  <si>
    <t xml:space="preserve">2016   Obstetrical and Neonatal Perspectives on Prematurity.</t>
  </si>
  <si>
    <t xml:space="preserve">2016   Global Variation in Neonatal Intensive Care: Does It Matter?</t>
  </si>
  <si>
    <t xml:space="preserve">2015   Intestinal microbiota and its relationship with necrotizing enterocolitis.</t>
  </si>
  <si>
    <t xml:space="preserve">2013   Therapeutic use of prebiotics, probiotics, and postbiotics to prevent necrotizing enterocolitis: what is the current evidence?</t>
  </si>
  <si>
    <t xml:space="preserve">… and 1 older titles, not shown</t>
  </si>
  <si>
    <t xml:space="preserve">Debra Houry   ·   MD; MPH; BS</t>
  </si>
  <si>
    <t xml:space="preserve">Emergency Medicine (SOM)
Health Policy &amp; Management (RSPH)
Environmental Health (RSPH)
Global Health (RSPH)</t>
  </si>
  <si>
    <t xml:space="preserve">dhoury@emory.edu</t>
  </si>
  <si>
    <t xml:space="preserve">https://sph.emory.edu/profile/faculty/debra-houry</t>
  </si>
  <si>
    <t xml:space="preserve">Dr. Debra Houry is a nationally recognized physician and public health leader with nearly three decades of experience guiding health care and public health strategy across federal government, health systems, and academia. A board-certified emergency physician, she brings the perspective of frontline care together with proven experience leading complex organizations, shaping national policy, and driving results at scale. Dr. Houry is a senior advisor to governors, states, and regional organizations on health policy and access, data modernization, preparedness, and incorporating technology into health systems. Previously, Dr. Houry served as Chief Medical Officer and Deputy Director for Program and Science at the Centers for Disease Control and Prevention (CDC), where she oversaw nine national centers and the Office of Science with a combined budget of more than $6 billion. She also served as Acting Principal Deputy Director, the agency’s most senior leader after the CDC Director, where she co-led the Moving Forward initiative—restructuring CDC’s 12,000 staff and $8 billion budget to strengthen preparedness, data, and laboratory systems. Previously, as Director of CDC’s National Center for Injury Prevention and Control, Dr. Houry guided dramatic growth in resources and impact, advancing national strategies on opioid use, suicide prevention, and mental health. Earlier in her career, she was the Vice Chair for Research in Emergency Medicine at Emory University, where she built the department into the top NIH-funded emergency medicine program in the country. Dr. Houry has served on multiple boards, including as President of both the Society for Academic Emergency Medicine and the Society for Advancement of Violence and Injury Research, and on the boards of the Emory University Alumni Association, the Georgia State University School of Public Health, and FutureVerse. An elected member of the National Academy of Medicine, Dr. Houry has been recognized with numerous honors including the American Medical Association Award for Outstanding Government Service, Atlanta Business Chronicle Public Healthcare Hero Award, and American Public Health Association Jay Drotman Award. She received her BS from Emory University, her MD and MPH. from Tulane University, and completed her emergency medicine residency at Denver Health Medical Center.</t>
  </si>
  <si>
    <t xml:space="preserve">Anand Joshi   ·   MD</t>
  </si>
  <si>
    <t xml:space="preserve">abjosh3@emory.edu</t>
  </si>
  <si>
    <t xml:space="preserve">https://www.emoryhealthcare.org/providers/anand-joshi-1445246</t>
  </si>
  <si>
    <t xml:space="preserve">Anand B. Joshi MD, MHA is pleased to return to his native Georgia to join the Emory Spine Center. He has extensively trained in Physical Medicine &amp; Rehabilitation, Electrodiagnostic Medicine, and has subspecialty, fellowship training in image-guided spinal interventions. Dr. Joshi’s practice focuses on reducing back pain and disability through non-surgical, conservative and rehabilitative treatments, as well as collaborating with your healthcare team to achieve the best result. Prior to joining Emory, Dr. Joshi practiced at the Duke Spine Center for nearly 10 years. While there, he was the Head of the Section of Physical Medicine and Rehabilitation, and had designed Duke’s Physical Medicine and Rehabilitation educational curriculum for doctors in-training. Dr. Joshi has authored over 20 research publications, including book chapters and has been recognized by the Spine Intervention Society with prestigious research awards. Dr. Joshi is enthusiastic to partner with you to reduce your pain and improve your function. • Non-surgical treatments for back pain</t>
  </si>
  <si>
    <t xml:space="preserve">2023   Facets of facet joint interventions.</t>
  </si>
  <si>
    <t xml:space="preserve">2021   The Effectiveness of Intraosseous Basivertebral Nerve Radiofrequency Neurotomy for the Treatment of Chronic Low Back Pain in Patients with Modic Changes: A Systematic Review.</t>
  </si>
  <si>
    <t xml:space="preserve">bketche@emory.edu</t>
  </si>
  <si>
    <t xml:space="preserve">2026   All-Cause Mortality Following Veterans Affairs and Community Mental Health Residential Treatment.</t>
  </si>
  <si>
    <t xml:space="preserve">2025   Finding the optimal length of stay for veterans in substance use disorder residential treatment using generalized propensity score modeling.</t>
  </si>
  <si>
    <t xml:space="preserve">2024   Effectiveness of residential treatment services for veterans with substance use disorders: A propensity score matching evaluation.</t>
  </si>
  <si>
    <t xml:space="preserve">2017   Effect of heroin use on changes of brain functions as measured by functional magnetic resonance imaging, a systematic review.</t>
  </si>
  <si>
    <t xml:space="preserve">2016   Comorbid Post-Traumatic Stress Disorder, Pain, and Opiate Addiction</t>
  </si>
  <si>
    <t xml:space="preserve">2014   Factors affecting noncompliance with buprenorphine maintenance treatment.</t>
  </si>
  <si>
    <t xml:space="preserve">2009   HIV Infection, Stressful Life Events, and Intimate Relationship Power: The Moderating Role of Community Resources for Black South African Women</t>
  </si>
  <si>
    <t xml:space="preserve">bnavalk@emory.edu</t>
  </si>
  <si>
    <t xml:space="preserve">https://www.emoryhealthcare.org/providers/bhagyashri-devidas-navalkele-2954904</t>
  </si>
  <si>
    <t xml:space="preserve">2026   Strategies for the prevention and control of Mpox: A review article.</t>
  </si>
  <si>
    <t xml:space="preserve">2024   Clinical application of live biotherapeutic products in infectious diseases.</t>
  </si>
  <si>
    <t xml:space="preserve">Glaivy Batsuli   ·   MD</t>
  </si>
  <si>
    <t xml:space="preserve">gbatsul@emory.edu</t>
  </si>
  <si>
    <t xml:space="preserve">Titles (51)</t>
  </si>
  <si>
    <t xml:space="preserve">2026   Innate Immune Cell Activation is Associated with Anaphylactic Outcomes in Factor IX Exposed Hemophilia B Mice</t>
  </si>
  <si>
    <t xml:space="preserve">2026   Factor VIII Protein Modifications Influence the Immune Recognition of FVIIIFc-VWF-XTEN in Hemophilia A Patient Samples (THSNA Travel Awardee)</t>
  </si>
  <si>
    <t xml:space="preserve">2026   Diverse B-cell Responses to FVIII in Persons With Severe Hemophilia A</t>
  </si>
  <si>
    <t xml:space="preserve">2026   National Bleeding Disorder Foundation Clinical Practice Recommendations for Laboratory Screening of Iron Deficiency With and Without Anemia in the Inherited Bleeding Disorders Population.</t>
  </si>
  <si>
    <t xml:space="preserve">2025   Persistent splenic-derived IgMs preferentially recognize factor VIII A2 and C2 domain epitopes but do not alter antibody production.</t>
  </si>
  <si>
    <t xml:space="preserve">2025   Direct Optical Detection of Factor Xa Activity in Minimally Processed Whole Blood.</t>
  </si>
  <si>
    <t xml:space="preserve">2024   Prevalence and Factors Associated with Coagulopathy in Children with Sickle Cell Disease</t>
  </si>
  <si>
    <t xml:space="preserve">2024   Immune Toleration Induction with Emicizumab in Hemophilia a Patients with Inhibitors: A Systematic Review</t>
  </si>
  <si>
    <t xml:space="preserve">2024   GERMINAL CENTER AND NON- GERMINAL CENTER B CELL RESPONSE TO FACTOR VIII IN HEMOPHILIA A PATIENTS</t>
  </si>
  <si>
    <t xml:space="preserve">2024   Real-world effectiveness of eptacog beta in patients with haemophilia and inhibitors: A multi-institutional case series.</t>
  </si>
  <si>
    <t xml:space="preserve">2024   Assessment of menstrual health in adolescent and young adults with sickle cell disease.</t>
  </si>
  <si>
    <t xml:space="preserve">2023   INVESTIGATING THE ROLE OF IGM IN THE IMMUNE RESPONSE TO FACTOR VIII</t>
  </si>
  <si>
    <t xml:space="preserve">2023   Investigating persistent factor VIII-specific IgM in the humoral immune response to factor VIII</t>
  </si>
  <si>
    <t xml:space="preserve">2023   HEMOSTATIC EFFICACY OF RECOMBINANT FACTOR VII PRODUCT EPTACOG BETA FOR BLEEDING MANAGEMENT: REAL-WORLD EXPERIENCE OF PATIENTS WITH HEMOPHILIA A AND B WITH INHIBITORS</t>
  </si>
  <si>
    <t xml:space="preserve">2023   Charactering the immune signature of antigen presenting cells in the immune response to factor VIII in a murine model of hemophilia A using single-cell RNA sequencing</t>
  </si>
  <si>
    <t xml:space="preserve">2023   Severe muscle bleeds in children and young adults with hemophilia A on emicizumab prophylaxis: Real-world retrospective multi-institutional cohort.</t>
  </si>
  <si>
    <t xml:space="preserve">2023   Building the foundation for a community-generated national research blueprint for inherited bleeding disorders: facilitating research through infrastructure, workforce, resources and funding.</t>
  </si>
  <si>
    <t xml:space="preserve">2023   The impact of concurrent X chromosome anomalies on diagnosis and bleeding phenotype in children with hemophilia: A single-institution case series.</t>
  </si>
  <si>
    <t xml:space="preserve">2023   Factor VIII antibody immune complexes modulate the humoral response to factor VIII in an epitope-dependent manner.</t>
  </si>
  <si>
    <t xml:space="preserve">2022   Assessment of Menstrual Health and Bleeding Symptoms in Adolescent Girls and Young Women with Sickle Cell Disease</t>
  </si>
  <si>
    <t xml:space="preserve">2022   Successful Perioperative Management of Orthotopic Cardiac Transplantation in a Pediatric Patient With Concurrent Congenital von Willebrand Disease and Acquired von Willebrand Syndrome Using Recombinant von Willebrand Factor.</t>
  </si>
  <si>
    <t xml:space="preserve">2022   Removal of single-site N-linked glycans on factor VIII alters binding of domain-specific monoclonal antibodies.</t>
  </si>
  <si>
    <t xml:space="preserve">2022   Iron deficiency anemia and bleeding management in pediatric patients with Bernard-Soulier syndrome and Glanzmann Thrombasthenia: A single-institution analysis.</t>
  </si>
  <si>
    <t xml:space="preserve">2022   A review of the pharmacokinetics, efficacy and safety of high-purity factor X for the prophylactic treatment of hereditary factor X deficiency.</t>
  </si>
  <si>
    <t xml:space="preserve">2021   Real-World Data of the Hemostatic Efficacy of Recombinant Human Factor VIIa Eptacog Beta for Acute Bleeding Events in Patients with Hemophilia a and B with Inhibitors</t>
  </si>
  <si>
    <t xml:space="preserve">2021   Plasma factor IX: The tip of the iceberg?</t>
  </si>
  <si>
    <t xml:space="preserve">2021   Thrombocytosis with acquired von Willebrand disease in an adolescent with sickle cell disease.</t>
  </si>
  <si>
    <t xml:space="preserve">2021   Emicizumab in tolerized patients with hemophilia A with inhibitors: A single-institution pediatric cohort assessing inhibitor status.</t>
  </si>
  <si>
    <t xml:space="preserve">2021   Reticular Dysgenesis: A Rare Immunodeficiency in a Neonate With Cytopenias and Bacterial Sepsis.</t>
  </si>
  <si>
    <t xml:space="preserve">2021   Rare Coagulation Factor Deficiencies (Factors VII, X, V, and II).</t>
  </si>
  <si>
    <t xml:space="preserve">2020   THE IMPACT OF CONCURRENT X-CHROMOSOME ABNORMALITIES ON BLEEDING PHENOTYPE IN PEDIATRIC HEMOPHILIA</t>
  </si>
  <si>
    <t xml:space="preserve">2020   Inhibitor status of patients with Hemophilia A who transition to Emicizumab after Immune Tolerance Induction</t>
  </si>
  <si>
    <t xml:space="preserve">2020   Use of plasma-derived factor X concentrate in neonates and infants with congenital factor X deficiency.</t>
  </si>
  <si>
    <t xml:space="preserve">2019   Severe Bleeding Events in Hemophilia. Patients Receiving Emicizumab Prophylaxis</t>
  </si>
  <si>
    <t xml:space="preserve">2019   Factor XIII, alpha(2)-Antiplasmin, and Plasminogen Activator Inhibitor-1 Deficiencies</t>
  </si>
  <si>
    <t xml:space="preserve">2019   Factor VII Deficiency</t>
  </si>
  <si>
    <t xml:space="preserve">2019   Epitope Dependent Augmentation of the Immune Response in Hemophilia. Mice Immunized with Factor VIII/Antibody Immune Complexes</t>
  </si>
  <si>
    <t xml:space="preserve">2019   Congenital Disorders of Fibrinogen</t>
  </si>
  <si>
    <t xml:space="preserve">2019   Immune tolerance induction in paediatric patients with haemophilia A and inhibitors receiving emicizumab prophylaxis.</t>
  </si>
  <si>
    <t xml:space="preserve">2018   The Atlanta Protocol: Immune Tolerance Induction in Pediatric Patients with Hemophilia a and Inhibitors on Emicizumab</t>
  </si>
  <si>
    <t xml:space="preserve">2018   Maintaining Perioperative Hemostasis in Patients with Severe Hemophilia A and Inhibitors Receiving Emicizumab Prophylaxis</t>
  </si>
  <si>
    <t xml:space="preserve">2018   Long-term outcomes of patients with severe hemophilia A and high titer inhibitors with partial tolerance after immune tolerance induction</t>
  </si>
  <si>
    <t xml:space="preserve">2018   Anti-C1 domain antibodies that accelerate factor VIII clearance contribute to antibody pathogenicity in a murine hemophilia A model.</t>
  </si>
  <si>
    <t xml:space="preserve">2016   Very High Dose Factor VIII Needed to Prevent Bleeding in the Presence of a Low Titer Anti-C1 Domain Antibody</t>
  </si>
  <si>
    <t xml:space="preserve">2016   Innovating immune tolerance induction for haemophilia</t>
  </si>
  <si>
    <t xml:space="preserve">2016   Factor VIII C2 Domain Epitopes Recognized By Classical and Non-Classical Anti-C2 Domain Monoclonal Antibodies Help Mediate FVIII Uptake By Dendritic Cells</t>
  </si>
  <si>
    <t xml:space="preserve">2016   High-affinity, noninhibitory pathogenic C1 domain antibodies are present in patients with hemophilia A and inhibitors.</t>
  </si>
  <si>
    <t xml:space="preserve">2016   Hemophilia and inhibitors: current treatment options and potential new therapeutic approaches.</t>
  </si>
  <si>
    <t xml:space="preserve">2015   Anti-C1 Domain Antibodies Are Pathogenic in a Murine Tail Snip Model Despite Low Inhibitor Titers</t>
  </si>
  <si>
    <t xml:space="preserve">2014   Anti-Factor VIII C1 Domain Antibodies Are Present in the Plasmas of Patients with Hemophilia and Inhibitors</t>
  </si>
  <si>
    <t xml:space="preserve">2012   ROLE OF RACE/ETHNICITY ON IMMUNE TOLERANCE INDUCTION AND INHIBITOR RELAPSE IN CHILDREN WITH HEMOPHILIA A</t>
  </si>
  <si>
    <t xml:space="preserve">Richard Danilkowicz   ·   MD</t>
  </si>
  <si>
    <t xml:space="preserve">rdanilk@emory.edu</t>
  </si>
  <si>
    <t xml:space="preserve">https://www.emoryhealthcare.org/providers/richard-danilkowicz-3098815</t>
  </si>
  <si>
    <t xml:space="preserve">Richard Danilkowicz, MD, is an orthopedic sports medicine surgeon specializing in shoulder, elbow, and knee conditions. He completed his undergraduate education at Johns Hopkins University where he played football and served as captain of the wrestling team. Before medical school, Dr. Danilkowicz was selected to be a part of Teach for America, where he taught middle and high school science while obtaining a master’s degree in teaching. During this time, he was also able to start pursuing one of his other hobbies, coaching football and basketball. Dr. Danilkowicz then graduated from medical school at the University of Illinois at Chicago before completing his orthopedic surgery training at Duke University. While at Duke, Dr. Danilkowicz gained extensive experience serving as an associate team physician for multiple Division I men’s and women’s teams including basketball, football, soccer, wrestling, volleyball, and track and field. During this time, Dr. Danilkowicz was also selected to take part in the ICRS-JRF/CTS Clinical Travelling Fellowship, where he spent time learning from some of the premier cartilage restoration surgeons in the country. After residency, Dr. Danilkowicz completed his sports medicine fellowship training at the world renowned Midwest Orthopedics at Rush in Chicago, Illinois where in addition to training on complex surgical cases, he also served as an associate team physician for the Chicago Bulls and Chicago White Sox. At Emory, Dr. Danilkowicz serves as a team physician for the Atlanta Falcons, as well as Cherokee Bluff and Chattahoochee high schools. Dr. Danilkowicz has an extensive research background with over 100 manuscripts, book chapters, and presentations authored while also speaking at both national and international conferences. Specific research interests include cartilage restoration and joint preservation, orthobiologics, and clinical outcomes. In his free time, Dr. Danilkowicz enjoys spending time with his wife, three young children, and French bulldog. You may spot him coaching his kids’ sports teams around town or watching almost any sport on TV, but most of all college and NFL football.</t>
  </si>
  <si>
    <t xml:space="preserve">Titles (37)</t>
  </si>
  <si>
    <t xml:space="preserve">2026   Effect of Inflammatory Biomarkers on Patient Symptomatic State at Time of Knee Chondroplasty.</t>
  </si>
  <si>
    <t xml:space="preserve">2026   Collegiate Pitchers' Attitudes Toward Fastball Velocity and Ulnar Collateral Ligament Injury Risk: A Cross-Sectional Survey Study.</t>
  </si>
  <si>
    <t xml:space="preserve">2026   Evaluating large language model responses to patient questions on ulnar collateral ligament repair.</t>
  </si>
  <si>
    <t xml:space="preserve">2026   Statcast-based evaluation of postoperative performance in Major League Baseball position players following ulnar collateral ligament surgery: a retrospective case-control study.</t>
  </si>
  <si>
    <t xml:space="preserve">2026   Evaluating Artificial Intelligence-Generated Responses to Patient Questions Regarding Orthobiologic Injections.</t>
  </si>
  <si>
    <t xml:space="preserve">2025   Staged Hip Arthroscopy With Labral Repair, Femoroplasty, and Capsular Plication Followed by Periacetabular Osteotomy for Hip Dysplasia Results in Improved Outcomes and 100% Survivorship at Minimum 2-Year Follow-Up</t>
  </si>
  <si>
    <t xml:space="preserve">2025   Primary Hip Arthroscopy Is Associated With Earlier Achievement of Substantial Clinical Benefit Compared With Revision Hip Arthroscopy for Femoroacetabular Impingement Syndrome</t>
  </si>
  <si>
    <t xml:space="preserve">2025   Isolated Medial Patellofemoral Ligament Reconstruction Results in Lower Failure and Complication Rates Than Isolated Trochleoplasty and Tibial Tubercle Osteotomy: A Systematic Review</t>
  </si>
  <si>
    <t xml:space="preserve">2025   Hip Arthroscopy Patients With Lower Back Pain Show Delayed Clinical Improvement and Inferior Time-Dependent Survivorship: A Propensity Matched Study at Mid-Term Follow-Up</t>
  </si>
  <si>
    <t xml:space="preserve">2025   Chronic Ischial Tuberosity Avulsion Fracture with Nerve Entrapment in a Competitive Athlete</t>
  </si>
  <si>
    <t xml:space="preserve">2025   Integrating intramuscular fat radiomics with hamstrings-to-quadriceps structure and function ratios to predict future hamstring strain injury.</t>
  </si>
  <si>
    <t xml:space="preserve">2025   Ethical and Regulatory Considerations Related to Regenerative Medicine.</t>
  </si>
  <si>
    <t xml:space="preserve">2025   Poster 212: Lateral Extra-Articular Tenodesis (LET) Effects on Quadriceps Tendon (QT) Autograft Maturation Following ACL Reconstruction Surgery</t>
  </si>
  <si>
    <t xml:space="preserve">2024   Similar outcomes between biceps tenodesis and SLAP repair for SLAP tears in younger patients – A meta-analysis</t>
  </si>
  <si>
    <t xml:space="preserve">2024   Regarding “Bipolar Lesions of the Knee Are Associated With Inferior Clinical Outcome Following Articular Cartilage Regeneration: A Propensity Score-Matched Analysis Including 238 Patients of the German Cartilage Registry (KnorpelRegister DGOU)”</t>
  </si>
  <si>
    <t xml:space="preserve">2024   Racial Disparities in Total Ankle Arthroplasty Utilization: A National Database Analysis</t>
  </si>
  <si>
    <t xml:space="preserve">2024   Majority of Studies Show Similar Rates of Return to Play After Arthroscopic Bankart Repair or Latarjet Procedure: A Systematic Review</t>
  </si>
  <si>
    <t xml:space="preserve">2024   Evaluation High-Quality of Information from ChatGPT (Artificial Intelligence—Large Language Model) Artificial Intelligence on Shoulder Stabilization Surgery</t>
  </si>
  <si>
    <t xml:space="preserve">2024   Evaluating the reliability and quality of YouTube videos regarding medial collateral ligament knee injury as a patient education resource</t>
  </si>
  <si>
    <t xml:space="preserve">2024   Bone Marrow Stimulation for Arthroscopic Rotator Cuff Repair: A Meta-analysis of Randomized Controlled Trials</t>
  </si>
  <si>
    <t xml:space="preserve">2024   Author Reply to "Can We Conclude That the Arthroscopic Bankart Repair and Open Latarjet Procedure Show Similar Rates of Return to Play and How Should This Conclusion Be Interpreted?"</t>
  </si>
  <si>
    <t xml:space="preserve">2024   Association between sleep dysfunction and Patient-Reported Outcomes Measurement Information System scores in patients with rotator cuff tears</t>
  </si>
  <si>
    <t xml:space="preserve">2023   Short-Term Complications Following Total Ankle Arthroplasty and Associated Risk Factors: A NSQIP Database Analysis</t>
  </si>
  <si>
    <t xml:space="preserve">2023   Haglund Excision and Suture Bridge Repair</t>
  </si>
  <si>
    <t xml:space="preserve">2023   Editorial Commentary: Postoperative Pain Management After Anterior Cruciate Ligament Reconstruction Can Minimize Opioid Use and Allow Early Rehabilitation</t>
  </si>
  <si>
    <t xml:space="preserve">2022   Nonoperative and Operative Soft-Tissue and Cartilage Regeneration and Orthopaedic Biologics of the Foot and Ankle: An Orthoregeneration Network Foundation Review</t>
  </si>
  <si>
    <t xml:space="preserve">2022   Intra-Articular Synovial Fluid With Hematoma After Ankle Fracture Promotes Cartilage Damage In Vitro Partially Attenuated by Anti-Inflammatory Agents</t>
  </si>
  <si>
    <t xml:space="preserve">2022   In Situ 3D Bioprinting of Musculoskeletal Tissues in Orthopedic Surgery</t>
  </si>
  <si>
    <t xml:space="preserve">2022   High Prevalence of Sleep Disturbance Is Associated with Femoroacetabular Impingement Syndrome</t>
  </si>
  <si>
    <t xml:space="preserve">2022   Analysis of Risk Factors, Complications, Reoperations, and Demographics Associated With Open and Arthroscopic Rotator Cuff Repair: An Analysis of a Large National Database</t>
  </si>
  <si>
    <t xml:space="preserve">2022   3D-bioprinted GelMA-gelatin-hydroxyapatite osteoblast-laden composite hydrogels for bone tissue engineering</t>
  </si>
  <si>
    <t xml:space="preserve">2021   Talonavicular Joint-Sparing 3D Printed Navicular Replacement for Osteonecrosis of the Navicular</t>
  </si>
  <si>
    <t xml:space="preserve">2021   Operative costs associated with arthroscopic assisted open reduction and internal fixation of acute ankle fractures</t>
  </si>
  <si>
    <t xml:space="preserve">2020   Single-stage versus two-stage revision for shoulder periprosthetic joint infection: a systematic review and meta-analysis</t>
  </si>
  <si>
    <t xml:space="preserve">2020   Popliteal Artery Entrapment Syndrome</t>
  </si>
  <si>
    <t xml:space="preserve">2020   Factors Associated With Extended Length of Stay and 90-Day Readmission Rates Following ACDF.</t>
  </si>
  <si>
    <t xml:space="preserve">2018   Revisiting Orthopaedic Surgery Residents’ Views of the CDC and AAOS Precautionary Guidelines for HIV</t>
  </si>
  <si>
    <t xml:space="preserve">Donna Brogan   ·   MD; BS</t>
  </si>
  <si>
    <t xml:space="preserve">dbrogan@emory.edu</t>
  </si>
  <si>
    <t xml:space="preserve">https://sph.emory.edu/profile/faculty/donna-brogan</t>
  </si>
  <si>
    <t xml:space="preserve">Donna Brogan had a 34 year academic career as a biostatistics faculty member, first at UNC School of Public Health in Chapel Hill and then at Emory University in both the School of Medicine and the Rollins School of Public Health (RSPH). She taught graduate courses in biostatistics and in her specialty area, sample survey design and analysis. She conducted methodological and collaborative research, frequently working with epidemiologists, physicians, sociologists, and psychologists. She is a fellow of the American Statistical Association (ASA) and received the Elizabeth Scott award for fostering opportunites for women in statistics. Gettysburg College, Purdue University and Iowa State University selected her for distinguished alumni awards. She received the Thomas Jefferson Award from Emory for outstanding service to the university over many years. After retirement from Emory in 2004 she continues to teach short courses on analysis of data from complex sample surveys, consult on design and/or analysis of complex sample surveys, and work with attorneys on legal cases that involve analysis of health or employment data. Over 2500 profesisonals in epidemiology, biostatistics and related disciplines have attended her 135 continuing education workshops since 1990. Recently she has presented seminars and published papers about her nonlinear path to a biostatistics academic career, which began in the late 1950's when few women pursued undergraduate or graduate work in mathematics or statistics. The RSPH Biostatistics &amp; Bioinformatics Department has sponsored the annual endowed Donna J. Brogan Lecture in Biostatistics since 2006, featuring each year a well-known and esteemed biostatistician or statistician. In 2020 the endowed Donna J. Brogan Professorship in Biostatistics was established at RSPH, and Dr. Amita Manatunga was named as the inaugural Donna J. Brogan Professor of Biostatistics. In 2022 the Donna J. Brogan Scholarship in Biostatistics for MSPH/MPH students was endowed. Cyen Peterkin was the first scholarship recipient for 2022-2023, and Chenyang Li was the second scholarship recipient for 2023-2024. In late 2023 Dr. Brogan made a financial contribution to Gettysburg College to aid in establishing the Donna J. Brogan Center for Quantitative Learning, which is housed in the Mathematics Department. The Center empowers students throughout Gettysburg College to gain analytical skills and knowledge for success in a data-driven world. Member of American Statistical Association (ASA) since 1964. Member of Survey Methods Research Section within the ASA since 1967. Founded Caucus for Women in Statistics, affiliated with ASA, in 1971. President 1971-1974.</t>
  </si>
  <si>
    <t xml:space="preserve">2017   Challenging Sex Discrimination: Reflections over Seven Decades</t>
  </si>
  <si>
    <t xml:space="preserve">2005   Race, gender, and incident dialysis patients' reported health status and quality of life.</t>
  </si>
  <si>
    <t xml:space="preserve">2001   Methodologic concerns in defining lesbian for health research.</t>
  </si>
  <si>
    <t xml:space="preserve">2000   U.S. Women Physicians' Personal and Clinical Breast Cancer Screening Practices</t>
  </si>
  <si>
    <t xml:space="preserve">1994   Increasing the accuracy of the Expanded Programme on Immunization's cluster survey design.</t>
  </si>
  <si>
    <t xml:space="preserve">1992   Survival differences among older dialysis patients in the southeast.</t>
  </si>
  <si>
    <t xml:space="preserve">1991   Sex stereotypes and health care: The case of treatment for kidney failure</t>
  </si>
  <si>
    <t xml:space="preserve">1990   Expectations and Psychological Needs of Elderly Dialysis Patients</t>
  </si>
  <si>
    <t xml:space="preserve">1986   Graduate Statistics Service Courses</t>
  </si>
  <si>
    <t xml:space="preserve">1976   Sources of Sex Discrimination in Educational Systems: A Conceptual Model</t>
  </si>
  <si>
    <t xml:space="preserve">Brittany Lewis   ·   MD; FNP</t>
  </si>
  <si>
    <t xml:space="preserve">bmlewis@emory.edu</t>
  </si>
  <si>
    <t xml:space="preserve">https://med.emory.edu/directory/profile/?u=BMLEWIS</t>
  </si>
  <si>
    <t xml:space="preserve">Dr. Brittany Lewis has joined the Emergency and Trauma Imaging team as a diagnostic radiologist specializing trauma imaging. She earned her medical degree from the University of California Davis where she was lauded as a role model and mentor. She completed diagnostic radiology residency at Wayne State University/Detroit Medical Center and a fellowship in emergency and trauma imaging here at Emory.</t>
  </si>
  <si>
    <t xml:space="preserve">2021   Imaging Manifestations of Chest Trauma.</t>
  </si>
  <si>
    <t xml:space="preserve">Bryan Christensen   ·   MD</t>
  </si>
  <si>
    <t xml:space="preserve">bchri27@emory.edu</t>
  </si>
  <si>
    <t xml:space="preserve">Titles (8)</t>
  </si>
  <si>
    <t xml:space="preserve">2021   Investigation of a Suspect Severe Acute Respiratory Syndrome Coronavirus-2 and Influenza A Mixed Outbreak: Lessons Learned for Long-Term Care Facilities Nationwide.</t>
  </si>
  <si>
    <t xml:space="preserve">2019   Outbreak investigation of Pseudomonas aeruginosa infections in a neonatal intensive care unit.</t>
  </si>
  <si>
    <t xml:space="preserve">2019   A Guide to Investigating Suspected Outbreaks of Mucormycosis in Healthcare.</t>
  </si>
  <si>
    <t xml:space="preserve">2019   Droplet- Rather than Aerosol-Mediated Dispersion Is the Primary Mechanism of Bacterial Transmission from Contaminated Hand-Washing Sink Traps.</t>
  </si>
  <si>
    <t xml:space="preserve">2018   Case Report: Imported Case of Lassa Fever - New Jersey, May 2015.</t>
  </si>
  <si>
    <t xml:space="preserve">2017   Assessment of traditional and improved stove use on household air pollution and personal exposures in rural western Kenya.</t>
  </si>
  <si>
    <t xml:space="preserve">2016   Use of Temperature Sensors to Determine Exclusivity of Improved Stove Use and Associated Household Air Pollution Reductions in Kenya.</t>
  </si>
  <si>
    <t xml:space="preserve">2016   Effectiveness of Six Improved Cookstoves in Reducing Household Air Pollution and Their Acceptability in Rural Western Kenya.</t>
  </si>
  <si>
    <t xml:space="preserve">Mahlon DeLong   ·   MD; BA</t>
  </si>
  <si>
    <t xml:space="preserve">medmrd@emory.edu</t>
  </si>
  <si>
    <t xml:space="preserve">Titles (17)</t>
  </si>
  <si>
    <t xml:space="preserve">2024   Mapping dysfunctional circuits in the frontal cortex using deep brain stimulation.</t>
  </si>
  <si>
    <t xml:space="preserve">2023   Patients with Cognitive Impairment in Parkinson's Disease Benefit from Deep Brain Stimulation: A Case-Control Study.</t>
  </si>
  <si>
    <t xml:space="preserve">2023   Concerns about the European Academy's Recommendations and Guidelines Regarding Pallidotomy for Parkinson's Disease.</t>
  </si>
  <si>
    <t xml:space="preserve">2023   Muhammad Ali and Young-Onset Idiopathic Parkinson Disease-The Missing Evidence.</t>
  </si>
  <si>
    <t xml:space="preserve">2022   Functional Topography of the Human Subthalamic Nucleus: Relevance for Subthalamotomy in Parkinson's Disease.</t>
  </si>
  <si>
    <t xml:space="preserve">2022   WITHDRAWN: European Academy of Neurology/Movement Disorder Society European Section's guidelines on pallidotomy for Parkinson's disease: let's remain accurate.</t>
  </si>
  <si>
    <t xml:space="preserve">2021   Clinical outcomes of globus pallidus deep brain stimulation for Parkinson disease: a comparison of intraoperative MRI- and MER-guided lead placement.</t>
  </si>
  <si>
    <t xml:space="preserve">2021   Secondary Dystonia in a Novel Mitochondriopathy Responsive to Deep Brain Stimulation Therapy.</t>
  </si>
  <si>
    <t xml:space="preserve">2019   Treatment of Essential Tremor: Deep Brain Stimulation</t>
  </si>
  <si>
    <t xml:space="preserve">2017   Deep brain stimulation of the centromedian thalamic nucleus for essential tremor: a case report.</t>
  </si>
  <si>
    <t xml:space="preserve">2016   Deep Brain Stimulation Placement Using Intraoperative MRI for Dystonia: One Year Clinical Outcomes (S30.003)</t>
  </si>
  <si>
    <t xml:space="preserve">2016   Clinical Outcomes Of Deep Brain Stimulation Placement Using Intraoperative MRI for Parkinson Disease (P3.359)</t>
  </si>
  <si>
    <t xml:space="preserve">2012   Deep brain stimulation for movement and other neurologic disorders.</t>
  </si>
  <si>
    <t xml:space="preserve">2010   Changing views of basal ganglia circuits and circuit disorders.</t>
  </si>
  <si>
    <t xml:space="preserve">2009   Update on models of basal ganglia function and dysfunction.</t>
  </si>
  <si>
    <t xml:space="preserve">2001   Basal Ganglia Circuits in Movement and Movement Disorders</t>
  </si>
  <si>
    <t xml:space="preserve">1999   Magnetic Resonance Imaging-based Stereotactic Localization of the Globus Pallidus and Subthalamic Nucleus</t>
  </si>
  <si>
    <t xml:space="preserve">rshirad@emory.edu</t>
  </si>
  <si>
    <t xml:space="preserve">https://med.emory.edu:443/departments/radiology/research/research-labs/madabhushi-lab/staff-profiles/rakesh-shiradkar.html</t>
  </si>
  <si>
    <t xml:space="preserve">Dr. Shiradkar is an assistant professor in the Wallace H. Coulter Department of Biomedical Engineering at Georgia Tech and Emory University. He is a member of the Discovery and Developmental Therapeutics Research Program at Winship Cancer Institute. His research focuses on developing machine learning and artificial intelligence methods in conjunction with quantitative and conventional MRI for image-based diagnosis and prognosis of prostate cancer. He has constructed multi-scale approaches integrating MRI, quantitative MR (MR fingerprinting) and histopathology using AI for developing efficient, non-invasive screening methods for patients with prostate cancer. Dr. Shiradkar earned his PhD in electrical and computer engineering at the National University of Singapore and completed postdoctoral research training at Case Western Reserve University. Department of Radiology and Imaging Sciences</t>
  </si>
  <si>
    <t xml:space="preserve">Titles (15)</t>
  </si>
  <si>
    <t xml:space="preserve">2025   Neoadjuvant cabozantinib for locally advanced nonmetastatic clear cell renal cell carcinoma: a phase 2 trial.</t>
  </si>
  <si>
    <t xml:space="preserve">2025   Population-Specific Radiomics From Biparametric Magnetic Resonance Imaging Improves Prostate Cancer Risk Stratification in African American Men.</t>
  </si>
  <si>
    <t xml:space="preserve">2025   Artificial Intelligence Applications in Cardio-Oncology: A Comprehensive Review.</t>
  </si>
  <si>
    <t xml:space="preserve">2025   A deep learning derived prostate zonal volume-based biomarker from T2-weighted MRI to distinguish between prostate cancer and benign prostatic hyperplasia.</t>
  </si>
  <si>
    <t xml:space="preserve">2024   Laterality of Radiation Therapy in Breast Cancer is Not Associated With Increased Risk of Coronary Artery Disease in the Contemporary Era.</t>
  </si>
  <si>
    <t xml:space="preserve">2024   Deep learning reveals lung shape differences on baseline chest CT between mild and severe COVID-19: A multi-site retrospective study.</t>
  </si>
  <si>
    <t xml:space="preserve">2024   Identifying and improving the "ground truth" of race in disparities research through improved EMR data reporting. A systematic review.</t>
  </si>
  <si>
    <t xml:space="preserve">2024   Neoadjuvant cabozantinib restores CD8+ T cells in patients with locally advanced non-metastatic clear cell renal cell carcinoma: a phase 2 trial.</t>
  </si>
  <si>
    <t xml:space="preserve">2024   An integrated radiology-pathology machine learning classifier for outcome prediction following radical prostatectomy: Preliminary findings.</t>
  </si>
  <si>
    <t xml:space="preserve">2024   Multi-scale statistical deformation based co-registration of prostate MRI and post-surgical whole mount histopathology.</t>
  </si>
  <si>
    <t xml:space="preserve">2024   Abstract 894: Radiomics at baseline MRI are associated with tumor shrinkage in patients with unresectable renal cell carcinoma treated with neo-adjuvant Cabozantinib</t>
  </si>
  <si>
    <t xml:space="preserve">2023   Ten quick tips for computational analysis of medical images.</t>
  </si>
  <si>
    <t xml:space="preserve">2023   Novel radiomic analysis on bi-parametric MRI for characterizing differences between MR non-visible and visible clinically significant prostate cancer.</t>
  </si>
  <si>
    <t xml:space="preserve">2023   Delta radiomic patterns on serial bi-parametric MRI are associated with pathologic upgrading in prostate cancer patients on active surveillance: preliminary findings.</t>
  </si>
  <si>
    <t xml:space="preserve">2023   "Shortcuts" Causing Bias in Radiology Artificial Intelligence: Causes, Evaluation, and Mitigation.</t>
  </si>
  <si>
    <t xml:space="preserve">Jiaying Lu   ·   PhD</t>
  </si>
  <si>
    <t xml:space="preserve">jiaying.lu@emory.edu</t>
  </si>
  <si>
    <t xml:space="preserve">2026   Predicting Post-Radiotherapy Epigenetic Age Acceleration From Pre-Treatment Data Using a Machine Learning Framework in Head and Neck Cancer Patients.</t>
  </si>
  <si>
    <t xml:space="preserve">2026   Knowledge Graph Augmented Large Language Models for Disease Prediction.</t>
  </si>
  <si>
    <t xml:space="preserve">2026   ClinNoteAgents: An LLM Multi-Agent System for Predicting and Interpreting Heart Failure 30-Day Readmission from Clinical Notes.</t>
  </si>
  <si>
    <t xml:space="preserve">2025   Patterns and Predictors of Reopening Nursing Homes to Visitors During the COVID-19 Pandemic.</t>
  </si>
  <si>
    <t xml:space="preserve">2025   Mining Social Determinants of Health for Heart Failure Patient 30-Day Readmission via Large Language Model.</t>
  </si>
  <si>
    <t xml:space="preserve">2025   MaSH: Maximal Separating Poincaré Hyperplanes for Hierarchical Imbalanced Learning</t>
  </si>
  <si>
    <t xml:space="preserve">2025   Large Language Model Empowered Privacy-Protected Framework for PHI Annotation in Clinical Notes.</t>
  </si>
  <si>
    <t xml:space="preserve">2025   DietAI24 as a framework for comprehensive nutrition estimation using multimodal large language models.</t>
  </si>
  <si>
    <t xml:space="preserve">2025   Artificial intelligence in cardiac telemetry.</t>
  </si>
  <si>
    <t xml:space="preserve">2025   An Electrocardiogram Multi-Task Benchmark with Comprehensive Evaluations and Insightful Findings.</t>
  </si>
  <si>
    <t xml:space="preserve">2025   A review on knowledge graphs for healthcare: Resources, applications, and promises.</t>
  </si>
  <si>
    <t xml:space="preserve">2024   Uncertainty-Aware Pre-Trained Foundation Models for Patient Risk Prediction via Gaussian Process.</t>
  </si>
  <si>
    <t xml:space="preserve">2024   SOCIAL DETERMINANTS OF HEALTH ASSOCIATED WITH 30-DAY REHOSPITALIZATION BY USING DISCHARGE SUMMARIES</t>
  </si>
  <si>
    <t xml:space="preserve">2024   PromptLink: Leveraging Large Language Models for Cross-Source Biomedical Concept Linking.</t>
  </si>
  <si>
    <t xml:space="preserve">2024   KERAP: A Knowledge-Enhanced Reasoning Approach for Accurate Zero-shot Diagnosis Prediction Using Multi-agent LLMs.</t>
  </si>
  <si>
    <t xml:space="preserve">2023   Weakly Supervised Concept Map Generation through Task-Guided Graph Translation.</t>
  </si>
  <si>
    <t xml:space="preserve">2023   HiPrompt: Few-Shot Biomedical Knowledge Fusion via Hierarchy-Oriented Prompting.</t>
  </si>
  <si>
    <t xml:space="preserve">2023   Cellcano: supervised cell type identification for single cell ATAC-seq data.</t>
  </si>
  <si>
    <t xml:space="preserve">2022   Good, Better, Best: Textual Distractors Generation for Multiple-Choice Visual Question Answering via Reinforcement Learning</t>
  </si>
  <si>
    <t xml:space="preserve">Kevin Bonney   ·   PhD; BS</t>
  </si>
  <si>
    <t xml:space="preserve">kbonne3@emory.edu</t>
  </si>
  <si>
    <t xml:space="preserve">https://med.emory.edu/directory/profile/?u=KBONNE3</t>
  </si>
  <si>
    <t xml:space="preserve">Dr. Bonney is Senior Director, Programs, in the Office of the Dean of the School of Medicine at Emory University. He also serves as Assistant Dean of Teaching Innovation in the Laney Graduate School and Coordinator of Evaluation and Program Assessment for Education and Training, Winship Cancer Institute.</t>
  </si>
  <si>
    <t xml:space="preserve">Amy Tang   ·   MD; BS</t>
  </si>
  <si>
    <t xml:space="preserve">aytang@emory.edu</t>
  </si>
  <si>
    <t xml:space="preserve">https://www.choa.org/doctors/amy-yixiao-tang</t>
  </si>
  <si>
    <t xml:space="preserve">GenderFemaleLanguageChinese, English Medical School:Augusta UniversityResidency:Emory University School of MedicineFellowship:Columbia University Dr. Tang joined Children’s Healthcare of Atlanta and Emory University as Assistant Professor of Pediatric Hematology in July 2017. She previously completed a three-year fellowship in pediatric hematology/oncology at Columbia University. Prior to her fellowship, she earned a medical degree from Medical College of Georgia–Augusta University, followed by her pediatrics residency training at Emory. Dr. Tang has a broad clinical interest in general hematology and sickle cell disease, especially in disorders of iron metabolism, clinical treatment and management of sickle cell disease, transfusion-related iron overload, and best practices in transfusion therapy and related complications in sickle cell disease. Dr. Tang grew up in metro Atlanta and feels very fortunate to be back home, working with a talented and supportive group of hematology providers, nurses and staff. Her patients and families continue to impress her with their strength and resilience, and she considers it a privilege to be part of their care.</t>
  </si>
  <si>
    <t xml:space="preserve">2021   Red Blood Cell Membrane Defects</t>
  </si>
  <si>
    <t xml:space="preserve">Kiran Hebbar   ·   MBBS</t>
  </si>
  <si>
    <t xml:space="preserve">khebbar@emory.edu</t>
  </si>
  <si>
    <t xml:space="preserve">https://med.emory.edu/directory/profile/?u=KHEBBAR</t>
  </si>
  <si>
    <t xml:space="preserve">Kiran B. Hebbar, MD, FCCM is Professor of Pediatrics at Emory University School of Medicine, an Eminent Physician at Emory, and Medical Director of the Children’s Simulation Center at Children’s Healthcare of Atlanta. He is a pediatric intensivist whose work integrates simulation, patient safety, quality improvement, systems engineering, and human factors to improve outcomes for critically ill children. Dr. Hebbar is internationally recognized for advancing translational simulation—using simulation not only for education, but also to redesign clinical systems, optimize healthcare environments, identify latent safety threats, and improve team performance before patients are exposed to risk. His work has influenced pediatric resuscitation, ECMO, sepsis care, hospital design, and multidisciplinary crisis response, and has been adopted nationally and internationally. An accomplished educator and mentor, Dr. Hebbar has developed innovative curricula for residents, fellows, nurses, and interprofessional teams, while mentoring more than 50 pediatric critical care fellows and numerous faculty members. He has authored over 60 peer-reviewed publications, numerous book chapters, and the critical care handbook Act Quickly, Think Slowly. His contributions have been recognized with multiple teaching and innovation awards, including Emory School of Medicine’s Outstanding Teacher Award, the Daisy Award for Improving Pediatric Sepsis Outcomes, and designation as an Emory Eminent Physician and one of Atlanta Magazine’s Top Doctors.</t>
  </si>
  <si>
    <t xml:space="preserve">Titles (31)</t>
  </si>
  <si>
    <t xml:space="preserve">2025   Early clinical evaluation of a vendor developed pediatric artificial intelligence sepsis model in the emergency department.</t>
  </si>
  <si>
    <t xml:space="preserve">2024   Debriefer cognitive load during Traditional Reflective Debriefing vs. Rapid Cycle Deliberate Practice interdisciplinary team training.</t>
  </si>
  <si>
    <t xml:space="preserve">2024   A comparison of rapid cycle deliberate practice and traditional reflective debriefing on interprofessional team performance.</t>
  </si>
  <si>
    <t xml:space="preserve">2024   The Business Case for Simulation-based Hospital Design Testing; $90M Saved in Costs Avoided.</t>
  </si>
  <si>
    <t xml:space="preserve">2023   Let us to the TWISST; Plan, Simulate, Study and Act.</t>
  </si>
  <si>
    <t xml:space="preserve">2023   1171: TRANSLATIONAL WORK INTEGRATING SIMULATION AND SYSTEMS TESTING</t>
  </si>
  <si>
    <t xml:space="preserve">2022   Weight-Based Versus Flat Dosing of Epinephrine During Cardiac Arrest in the PICU: A Multicenter Survey.</t>
  </si>
  <si>
    <t xml:space="preserve">2022   Pediatric Intensive Care Unit (PICU) Patient Room Design: Identifying Safety Risks in Mirrored Rooms Through a Graphical Systems Analysis.</t>
  </si>
  <si>
    <t xml:space="preserve">2022   Improving Crisis Response for the Behavioral Mental Health Patient Using Simulation.</t>
  </si>
  <si>
    <t xml:space="preserve">2022   1077: INTEGRATION OF A SPACED REPETITION PLATFORM IN PEDIATRIC CRITICAL CARE FELLOWSHIP CURRICULA</t>
  </si>
  <si>
    <t xml:space="preserve">2021   Situational Awareness Huddles in a Pediatric Cardiac Intensive Care Unit During the COVID-19 Pandemic.</t>
  </si>
  <si>
    <t xml:space="preserve">2021   Translational Simulation Improves Compliance with the NEAR4KIDS Airway Safety Bundle in a Single-center PICU.</t>
  </si>
  <si>
    <t xml:space="preserve">2021   Simulation-based User-centered Design: An Approach to Device Development during COVID-19.</t>
  </si>
  <si>
    <t xml:space="preserve">2021   Mortality and Outcomes of Pediatric Tracheostomy Dependent Patients.</t>
  </si>
  <si>
    <t xml:space="preserve">2020   Simulation Enhances Safety Evaluation in the Design of New Healthcare Facilities</t>
  </si>
  <si>
    <t xml:space="preserve">2020   Designing for Patient Safety and Efficiency: Simulation-Based Hospital Design Testing.</t>
  </si>
  <si>
    <t xml:space="preserve">2020   A Survey Assessing Pediatric Transport Team Composition and Training.</t>
  </si>
  <si>
    <t xml:space="preserve">2020   SAFEE: A Debriefing Tool to Identify Latent Conditions in Simulation-based Hospital Design Testing.</t>
  </si>
  <si>
    <t xml:space="preserve">2019   Simulation-Based Palliative Care Communication for Pediatric Critical Care Fellows.</t>
  </si>
  <si>
    <t xml:space="preserve">2019   Simulation-based education to improve emergency management skills in caregivers of tracheostomy patients.</t>
  </si>
  <si>
    <t xml:space="preserve">2019   Rapid Cycle Deliberate Practice Versus Reflective Debriefing for Pediatric Septic Shock Training.</t>
  </si>
  <si>
    <t xml:space="preserve">2019   Simulation-Based Team Training Improves Team Performance among Pediatric Intensive Care Unit Staff.</t>
  </si>
  <si>
    <t xml:space="preserve">2019   Characterization of Myocardial Dysfunction in Fluid- and Catecholamine-Refractory Pediatric Septic Shock and Its Clinical Significance.</t>
  </si>
  <si>
    <t xml:space="preserve">2019   Can Simulation Based-Team Training Impact Bedside Teamwork in a Pediatric Intensive Care Unit?</t>
  </si>
  <si>
    <t xml:space="preserve">2019   Simulation-based clinical systems testing for healthcare spaces: from intake through implementation.</t>
  </si>
  <si>
    <t xml:space="preserve">2019   Prevent Safety Threats in New Construction through Integration of Simulation and FMEA.</t>
  </si>
  <si>
    <t xml:space="preserve">2016   Relationship Between Vitamin D Status and Plasma Aminothiol Redox in Critically Ill Children</t>
  </si>
  <si>
    <t xml:space="preserve">2016   Pediatric Procedural Sedation Using Dexmedetomidine: A Report From the Pediatric Sedation Research Consortium.</t>
  </si>
  <si>
    <t xml:space="preserve">2009   Neuroendocrine dysfunction in pediatric critical illness.</t>
  </si>
  <si>
    <t xml:space="preserve">2006   Severe hypocalcemic tetany and respiratory failure in an infant given oral phosphate soda.</t>
  </si>
  <si>
    <t xml:space="preserve">2005   Comparison of temporal artery thermometer to standard temperature measurements in pediatric intensive care unit patients.</t>
  </si>
  <si>
    <t xml:space="preserve">Taylor Harrison   ·   MD; BA</t>
  </si>
  <si>
    <t xml:space="preserve">tharri4@emory.edu</t>
  </si>
  <si>
    <t xml:space="preserve">2026   Study protocol for neuroimaging using 7 T MRI in the investigation of baricitinib for reduction of HIV in the CNS: a randomized placebo-controlled trial.</t>
  </si>
  <si>
    <t xml:space="preserve">2025   ICU-acquired weakness: Critical illness myopathy and polyneuropathy.</t>
  </si>
  <si>
    <t xml:space="preserve">2024   Neurosyphilis Manifesting as a Longitudinally Extensive Transverse Myelitis: A Case Report.</t>
  </si>
  <si>
    <t xml:space="preserve">2024   Flipping the Approach to Altered Mental Status: A Flipped Classroom and Simulation Innovation for Neurology Clerkship Students (P8-7.007)</t>
  </si>
  <si>
    <t xml:space="preserve">2023   Article Topic: Neuropathies Due to Infections and Antimicrobial Treatments.</t>
  </si>
  <si>
    <t xml:space="preserve">2022   Tofacitinib-induced Progressive Multifocal Leukoencephalopathy with Immune Reconstitution Inflammatory Syndrome.</t>
  </si>
  <si>
    <t xml:space="preserve">2021   Electrodiagnostic Assessment of Hyperexcitable Nerve Disorders.</t>
  </si>
  <si>
    <t xml:space="preserve">2020   Immune-Related Neuromuscular Complications of Checkpoint Inhibitors</t>
  </si>
  <si>
    <t xml:space="preserve">2017   Update of HIV-Associated Sensory Neuropathies.</t>
  </si>
  <si>
    <t xml:space="preserve">2015   The Myotonic Plot Thickens: Electrical Myotonia in Antimuscle-Specific Kinase Myasthenia Gravis.</t>
  </si>
  <si>
    <t xml:space="preserve">2014   Mumps and rubella.</t>
  </si>
  <si>
    <t xml:space="preserve">2013   Experience and challenges presented by a multicenter crossover study of combination analgesic therapy for the treatment of painful HIV-associated polyneuropathies.</t>
  </si>
  <si>
    <t xml:space="preserve">2011   Neuromuscular manifestations of HIV/AIDS.</t>
  </si>
  <si>
    <t xml:space="preserve">2007   Accuracy of repetitive nerve stimulation for diagnosis of the cramp-fasciculation syndrome.</t>
  </si>
  <si>
    <t xml:space="preserve">2006   A dangerous dilemma: management of infectious intracranial aneurysms complicating endocarditis.</t>
  </si>
  <si>
    <t xml:space="preserve">2006   Faculty Opinions recommendation of Lifestyle intervention for pre-diabetic neuropathy.</t>
  </si>
  <si>
    <t xml:space="preserve">2006   Faculty Opinions recommendation of Dexamethasone in adults with bacterial meningitis.</t>
  </si>
  <si>
    <t xml:space="preserve">Rein Saral   ·   MD; BA</t>
  </si>
  <si>
    <t xml:space="preserve">rsaral@emory.edu</t>
  </si>
  <si>
    <t xml:space="preserve">https://med.emory.edu/directory/profile/?u=RSARAL</t>
  </si>
  <si>
    <t xml:space="preserve">Rein Saral, MD is Professor Emeritus in the Department of Hematology and Medical Oncology at Emory University. Dr. Saral arrived at Emory in 1991 to lead the bone marrow transplantation program. Dr. Saral's major accomplishments include being the first physician to use bone marrow transplantation in the treatment of AIDS-related malignancies and among the first to use it in the treatment of sickle cell anemia and other inherited blood disorders; and being the first to demonstrate effectiveness of a safe antiviral (acyclovir) therapy against herpesviruses in transplant patients. Dr. Saral headed the National Institutes of Health Bone Marrow Transplant Study Section to determine appropriate use of bone marrow transplantation in the treatment of human disease.</t>
  </si>
  <si>
    <t xml:space="preserve">1997   A Prospective Randomized Trial of Buffy Coat Versus CD34-Selected Autologous Bone Marrow Support in High-Risk Breast Cancer Patients Receiving High-Dose Chemotherapy</t>
  </si>
  <si>
    <t xml:space="preserve">1993   Cytomegaloviral virus infection in bone marrow transplantation recipients: strategies for prevention and treatment</t>
  </si>
  <si>
    <t xml:space="preserve">1993   Herpes simplex infections.</t>
  </si>
  <si>
    <t xml:space="preserve">1993   Acyclovir influence on graft versus host disease.</t>
  </si>
  <si>
    <t xml:space="preserve">Ruth Parker   ·   MSc; MB; BS; BSc</t>
  </si>
  <si>
    <t xml:space="preserve">Medicine (SOM)
Epidemiology (RSPH)
Environmental Health (RSPH)
Global Health (RSPH)</t>
  </si>
  <si>
    <t xml:space="preserve">rpark01@emory.edu</t>
  </si>
  <si>
    <t xml:space="preserve">https://sph.emory.edu/profile/faculty/ruth-parker</t>
  </si>
  <si>
    <t xml:space="preserve">http://www.medicine.emory.edu/faculty_staff/faculty_profiles/index.cfm</t>
  </si>
  <si>
    <t xml:space="preserve">2006   What an Informed Patient Means for the Future of Healthcare</t>
  </si>
  <si>
    <t xml:space="preserve">Laura Miller   ·   DO; DPT; PharmD; RN</t>
  </si>
  <si>
    <t xml:space="preserve">ljmill2@emory.edu</t>
  </si>
  <si>
    <t xml:space="preserve">https://med.emory.edu/directory/profile/?u=LJMILL2</t>
  </si>
  <si>
    <t xml:space="preserve">Dr. Miller is a child and adolescent psychiatrist with a subspecialty in infancy and early childhood. She completed her psychiatry training at the Cambridge Health Alliance, Harvard’s community-based program that emphasized psychotherapy training, psychodynamic approaches, and trauma-informed care for all. She completed her child and adolescent fellowship at Emory University and discovered her calling for working with very young children. She completed UMass’s Infant and Parent Mental Health Certification Program and then opened Emory’s first infant mental health clinic, the Supporting Parents with their Infants Through Early Childhood (SPRITE) Clinic. She is a certified Parent Child Interactions (PCIT) Therapist and is trained in Trauma Focused Cognitive Behavioral Therapy. She is the consulting psychiatrist for Emory’s Neurodevelopmental Exposures Clinic. She became one of the first in the state to be endorsed as an Infant Mental Health Specialist through Georgia’s chapter of the Alliance for Infant Mental Health. Dr. Miller has also brought the Facilitating Attuned Interactions Communication (FAN) Tool to Georgia as a trainer, currently supporting the pediatric residency programs at Emory and Morehouse to ensure family centered, collaborative communication. She is also a consultant for Children’s Healthcare of Atlanta as they build out prevention and early intervention services at Hughes Spalding’s primary care clinic. Her teaching efforts have focused on healthy development, early childhood mental health, trauma, the FAN Tool, and PCIT. Her research efforts have focused on understanding the impact of the FAN Tool Training and PCIT.</t>
  </si>
  <si>
    <t xml:space="preserve">2024   Family OSCEs in Child and Adolescent Psychiatry Training: Formative Evaluation Involving Adolescent Simulated Patients.</t>
  </si>
  <si>
    <t xml:space="preserve">2021   From Vulnerability to Disclosure: A Normative Approach to Understanding Trust in Obstetric and Intrapartum Nurse-Patient Communication.</t>
  </si>
  <si>
    <t xml:space="preserve">2021   Quality Initiative to Reduce High-Flow Nasal Cannula Duration and Length of Stay in Bronchiolitis.</t>
  </si>
  <si>
    <t xml:space="preserve">2017   The Effects of an Integrated Community Case Management Strategy on the Appropriate Treatment of Children and Child Mortality in Kono District, Sierra Leone: A Program Evaluation.</t>
  </si>
  <si>
    <t xml:space="preserve">Mark Burton   ·   PhD</t>
  </si>
  <si>
    <t xml:space="preserve">msburto@emory.edu</t>
  </si>
  <si>
    <t xml:space="preserve">2026   Posttraumatic cognitions and PTSD symptom change in massed prolonged exposure: The impact of treatment delivery on mechanisms of change.</t>
  </si>
  <si>
    <t xml:space="preserve">2023   Treatment of posttraumatic stress disorder with prolonged exposure for primary care (PE-PC): Effectiveness and patient and therapist factors related to symptom change and retention.</t>
  </si>
  <si>
    <t xml:space="preserve">2022   A randomized controlled trial of 3,4-methylenedioxymethamphetamine (MDMA) and fear extinction retention in healthy adults.</t>
  </si>
  <si>
    <t xml:space="preserve">2022   Long-term effectiveness of a prolonged exposure-based intensive outpatient program for veterans with posttraumatic stress disorder.</t>
  </si>
  <si>
    <t xml:space="preserve">2022   The role of depression in the maintenance of gains after a prolonged exposure intensive outpatient program for posttraumatic stress disorder.</t>
  </si>
  <si>
    <t xml:space="preserve">2021   An intensive outpatient program with prolonged exposure for veterans with posttraumatic stress disorder: Retention, predictors, and patterns of change.</t>
  </si>
  <si>
    <t xml:space="preserve">2021   Latent Profiles of Comorbid Depression as Predictors of PTSD Treatment Outcome.</t>
  </si>
  <si>
    <t xml:space="preserve">2020   Neuroendocrine biomarkers of prolonged exposure treatment response in military-related PTSD.</t>
  </si>
  <si>
    <t xml:space="preserve">2020   Corrigendum to "Neuroendocrine biomarkers of prolonged exposure treatment response in military-related PTSD" [Psychoneuroendocrinology (2020) Article 104749].</t>
  </si>
  <si>
    <t xml:space="preserve">2017   The number of injected same-day preschool vaccines relates to preadolescent needle fear and HPV uptake.</t>
  </si>
  <si>
    <t xml:space="preserve">Lauren Esposito   ·   PhD</t>
  </si>
  <si>
    <t xml:space="preserve">lquast@emory.edu</t>
  </si>
  <si>
    <t xml:space="preserve">2025   Risk for Unplanned Pregnancy Among Survivors of Childhood Cancer.</t>
  </si>
  <si>
    <t xml:space="preserve">Michael Balk   ·   MD</t>
  </si>
  <si>
    <t xml:space="preserve">mbalk@emory.edu</t>
  </si>
  <si>
    <t xml:space="preserve">https://med.emory.edu/directory/profile/?u=MBALK</t>
  </si>
  <si>
    <t xml:space="preserve">President, Board of Directors, Metro Atlanta Greater Southeast Affiliate, AHA 2016-2020 Councilor, GA Chapter ACC 2011-2017 Medical Director, Northside Hospital Heart &amp; Vascular Institute , 2011-2017 Emory University School of Medicine Community Preceptor of the Year Award, 2009 Medical Director, Nuclear Cardiology and ECG, St. Joseph's Hospital of Atlanta 2008-2010</t>
  </si>
  <si>
    <t xml:space="preserve">2019   Digital Stethoscope-Improved Auscultation at the Bedside.</t>
  </si>
  <si>
    <t xml:space="preserve">Shiyong Li   ·   MD; PhD; MS</t>
  </si>
  <si>
    <t xml:space="preserve">sli2@emory.edu</t>
  </si>
  <si>
    <t xml:space="preserve">https://www.emoryhealthcare.org/providers/shiyong-li-779704</t>
  </si>
  <si>
    <t xml:space="preserve">A board certified pathologist, Dr. Li's clinical focuses are hematopathology, flow cytometry, and molecular genetic pathology of hematolymphoid and solid organ tissue malignancies. He began practicing with Emory Healthcare in 2000. Dr. Li received an MD from AnHui Medical University in China and a PhD from University of Iowa. He completed his residency at University of Pennsylvania Hospital and a fellowship at Johns Hopkins Hospital. Dr. Li is interested in the investigation of the underlying molecular mechanisms of lymphomagenesis, the identification of new markers to aid in diagnosis and clinical outcome predictions of malignant hematopoietic disorders, and the development of new diagnostic tests in the field of hematopathology. Dr. Li has over 50 publications including a book chapter and peer-reviewed articles in the academic journals Oncology, American Journal of Clinical Pathology, and International Journal of Surgical Pathology, among others.</t>
  </si>
  <si>
    <t xml:space="preserve">Titles (29)</t>
  </si>
  <si>
    <t xml:space="preserve">2025   Hodgkin Lymphoma Treatment With Brentuximab Vedotin in a Patient With HIV, Liver Failure, and Anemia Without Transfusion</t>
  </si>
  <si>
    <t xml:space="preserve">2024   Updates on Non-B-Lymphoid Neoplasms: A Review of the 5th Edition of the WHO Classification of Hematolymphoid Tumors</t>
  </si>
  <si>
    <t xml:space="preserve">2023   Rosai-Dorfman disease of the breast: a clinicoradiologic and pathologic study</t>
  </si>
  <si>
    <t xml:space="preserve">2022   Author Correction: Synergistic suppression of noscapine and conventional chemotherapeutics on human glioblastoma cell growth</t>
  </si>
  <si>
    <t xml:space="preserve">2022   Comment on "A Novel COL1A1-CAMTA1 Rearrangement in Cranial Fasciitis"</t>
  </si>
  <si>
    <t xml:space="preserve">2021   Mizuho hemoglobinopathy, presenting with severe hemolytic anemia and multisystem organ failure secondary to exertion.</t>
  </si>
  <si>
    <t xml:space="preserve">2020   Hodgkin Lymphomas</t>
  </si>
  <si>
    <t xml:space="preserve">2019   Critical role of ASCT2-mediated amino acid metabolism in promoting leukaemia development and progression.</t>
  </si>
  <si>
    <t xml:space="preserve">2019   Limited Utility of Flow Cytometry Immunophenotyping for Assessment of Plasma Cells in Hematopoietic Progenitor Cell Apheresis Product From Patients With Multiple Myeloma</t>
  </si>
  <si>
    <t xml:space="preserve">2019   2257 Hepatic Dysfunction as a Result of Multiple Myeloma</t>
  </si>
  <si>
    <t xml:space="preserve">2017   Blockade of Asparagine Endopeptidase Inhibits Cancer Metastasis.</t>
  </si>
  <si>
    <t xml:space="preserve">2017   Multimodality Technologies in the Assessment of Hematolymphoid Neoplasms.</t>
  </si>
  <si>
    <t xml:space="preserve">2016   Hematogones With Lambda Light Chain Restriction in a 4-Year-Old Boy With Burkitt Lymphoma: A Potential Diagnostic Pitfall.</t>
  </si>
  <si>
    <t xml:space="preserve">2015   SIRT3 Enhances Glycolysis and Proliferation in SIRT3-Expressing Gastric Cancer Cells.</t>
  </si>
  <si>
    <t xml:space="preserve">2014   Breast implant-associated anaplastic large-cell lymphoma: long-term follow-up of 60 patients.</t>
  </si>
  <si>
    <t xml:space="preserve">2014   Systemic mastocytosis with associated myeloproliferative neoplasm with t(8;19)(p12;q13.1) and abnormality of FGFR1: report of a unique case.</t>
  </si>
  <si>
    <t xml:space="preserve">2014   Nodal involvement by marginal zone B-cell lymphoma harboring t(14;22)(q32;q11) involving immunoglobulin heavy chain and light chain lambda as the sole karyotypically recognizable abnormality in a patient with systemic lupus erythematosus.</t>
  </si>
  <si>
    <t xml:space="preserve">2013   Synergistic suppression of noscapine and conventional chemotherapeutics on human glioblastoma cell growth.</t>
  </si>
  <si>
    <t xml:space="preserve">2011   Peripheral blood polyclonal plasmacytosis mimicking plasma cell leukemia in patients with angioimmunoblastic T-cell lymphoma: report of 3 cases and review of the literature.</t>
  </si>
  <si>
    <t xml:space="preserve">2010   A novel flow cytometric antibody panel for distinguishing Burkitt lymphoma from CD10+ diffuse large B-cell lymphoma.</t>
  </si>
  <si>
    <t xml:space="preserve">2010   An uncommon case of de novo CD10+ CD5- mantle cell lymphoma mimics follicle center B cell lymphoma.</t>
  </si>
  <si>
    <t xml:space="preserve">2010   The role of CD11c expression in the diagnosis of mantle cell lymphoma.</t>
  </si>
  <si>
    <t xml:space="preserve">2009   Silicone implant and primary breast ALK1-negative anaplastic large cell lymphoma, fact or fiction?</t>
  </si>
  <si>
    <t xml:space="preserve">2009   T-cell receptor gene rearrangement and CD30 immunoreactivity in traumatic ulcerative granuloma with stromal eosinophilia of the oral cavity.</t>
  </si>
  <si>
    <t xml:space="preserve">2009   Anaplastic lymphoma kinase-positive large B-cell lymphoma: a distinct clinicopathological entity.</t>
  </si>
  <si>
    <t xml:space="preserve">2009   Breast angiosarcoma: FDG PET findings.</t>
  </si>
  <si>
    <t xml:space="preserve">2003   Is B-Lineage Acute Lymphoblastic Leukemia With a Mature Phenotype and L1 Morphology a Precursor B-Lymphoblastic Leukemia/Lymphoma or Burkitt Leukemia/Lymphoma?</t>
  </si>
  <si>
    <t xml:space="preserve">2001   CD79a+ T-Cell Lymphoblastic Lymphoma With Coexisting Langerhans Cell Histiocytosis</t>
  </si>
  <si>
    <t xml:space="preserve">Carla Ammons   ·   PhD</t>
  </si>
  <si>
    <t xml:space="preserve">carla.ammons@choa.org</t>
  </si>
  <si>
    <t xml:space="preserve">https://www.choa.org/doctors/carla-ammons</t>
  </si>
  <si>
    <t xml:space="preserve">Doctor of Psychology School:University of AlabamaInternship:Emory UniversityFellowship:Childrens Healthcare of Atlanta Carla Ammons, PhD, is a Pediatric Neuropsychologist at Children’s Healthcare of Atlanta and serves as Assistant Professor at Emory University School of Medicine. Dr. Ammons works with children and young adults undergoing neurosurgery or experiencing cognitive problems secondary to their history of epilepsy, brain tumor, acquired brain injury, or other neurological conditions. She received her Doctor of Philosophy (PhD) in Medical Clinical Psychology from the University of Alabama at Birmingham before completing her internship and fellowship training in Adult and Pediatric Neuropsychology at Emory University School of Medicine/Children’s Healthcare of Atlanta.</t>
  </si>
  <si>
    <t xml:space="preserve">2022   Longitudinal neurodevelopmental profile of a pediatric patient with de novo SPTAN1, epilepsy, and left hippocampal sclerosis.</t>
  </si>
  <si>
    <t xml:space="preserve">Thomas Wingo   ·   MD; BS</t>
  </si>
  <si>
    <t xml:space="preserve">twingo@emory.edu</t>
  </si>
  <si>
    <t xml:space="preserve">https://med.emory.edu/directory/profile/?u=TWINGO</t>
  </si>
  <si>
    <t xml:space="preserve">IMPACT-ADRD: Investigating the Multi-omics Perturbations Associated with Complex Environmental Toxicants and t
Air pollution and early signs of dementia</t>
  </si>
  <si>
    <t xml:space="preserve">Titles (165)</t>
  </si>
  <si>
    <t xml:space="preserve">2026   Sex-biased Genetic Risk Loci and Causal Brain Proteins in Parkinson’s Disease</t>
  </si>
  <si>
    <t xml:space="preserve">2026   POISE: Spectral Inference of Parent-of-Origin Effects in Unlabeled Genomic Data</t>
  </si>
  <si>
    <t xml:space="preserve">2026   Leveraging the genetics of psychiatric disorders to prioritize potential drug targets and compounds</t>
  </si>
  <si>
    <t xml:space="preserve">2026   Generative Principal Component Regression via Variational Inference</t>
  </si>
  <si>
    <t xml:space="preserve">2026   Differential DNA methylation in blood as potential mediator of the association between ambient PM2.5 and cerebrospinal fluid biomarkers of Alzheimer’s disease among a cognitively normal population-based cohort</t>
  </si>
  <si>
    <t xml:space="preserve">2026   Behavioral and psychological symptoms of dementia: insights from a multivariate and network-based brain proteome-wide study</t>
  </si>
  <si>
    <t xml:space="preserve">2025   Unraveling sex differences in Alzheimer's disease and related endophenotypes with brain proteomes</t>
  </si>
  <si>
    <t xml:space="preserve">2025   Tablet-based Cognitive Assessment Tool (TabCAT) in a multisite study of early-onset Alzheimer's disease</t>
  </si>
  <si>
    <t xml:space="preserve">2025   Structural variants linked to Alzheimer's disease and other common age-related clinical and neuropathologic traits</t>
  </si>
  <si>
    <t xml:space="preserve">2025   Stratifying risk of Alzheimer's disease in healthy middle-aged individuals with machine learning</t>
  </si>
  <si>
    <t xml:space="preserve">2025   Response to the letter titled “Expanding the Horizon of Sex‐Specific Proteomic Insights in Alzheimer's Disease”</t>
  </si>
  <si>
    <t xml:space="preserve">2025   Multiancestry brain pQTL fine-mapping and integration with genome-wide association studies of 21 neurologic and psychiatric conditions</t>
  </si>
  <si>
    <t xml:space="preserve">2025   Multi-ancestry genome-wide meta-analysis of 56,241 individuals identifies known and novel cross-population and ancestry-specific associations as novel risk loci for Alzheimer's disease</t>
  </si>
  <si>
    <t xml:space="preserve">2025   Multi-Ancestry Brain pQTL Fine-Mapping and Integration With GWAS of 21 Neurologic and Psychiatric Conditions</t>
  </si>
  <si>
    <t xml:space="preserve">2025   Metabolic dysregulation in Alzheimer's disease: A brain metabolomics approach</t>
  </si>
  <si>
    <t xml:space="preserve">2025   Longitudinal cognitive performance of participants with sporadic early onset Alzheimer's disease from LEADS</t>
  </si>
  <si>
    <t xml:space="preserve">2025   Heterogeneous clinical phenotypes of sporadic early-onset Alzheimer's disease: a neuropsychological data-driven approach</t>
  </si>
  <si>
    <t xml:space="preserve">2025   GWAS links APOE to neuropsychiatric symptoms in mild cognitive impairment and dementia</t>
  </si>
  <si>
    <t xml:space="preserve">2025   Epigenome‐wide association study of cerebrospinal fluid–based biomarkers of Alzheimer's disease in cognitively normal individuals</t>
  </si>
  <si>
    <t xml:space="preserve">2025   Dissociable spatial topography of cortical atrophy in early-onset and late-onset Alzheimer's disease: A head-to-head comparison of the LEADS and ADNI cohorts</t>
  </si>
  <si>
    <t xml:space="preserve">2025   Differences in baseline cognitive performance between participants with early-onset and late-onset Alzheimer's disease: Comparison of LEADS and ADNI</t>
  </si>
  <si>
    <t xml:space="preserve">2025   Characterizing and validating 12-month reliable cognitive change in Early-Onset Alzheimer's Disease for use in clinical trials</t>
  </si>
  <si>
    <t xml:space="preserve">2025   Brain microRNAs differentially expressed in age-related cerebral pathologies</t>
  </si>
  <si>
    <t xml:space="preserve">2025   Amyloid PET in Sporadic Early- Versus Late-Onset Alzheimer's Disease: Comparison of the LEADS and ADNI Cohorts</t>
  </si>
  <si>
    <t xml:space="preserve">2024   The association between neighborhood deprivation and DNA methylation in an autopsy cohort</t>
  </si>
  <si>
    <t xml:space="preserve">2024   Psychosocial experiences are associated with human brain mitochondrial biology</t>
  </si>
  <si>
    <t xml:space="preserve">2024   Proteomic analysis of Alzheimer's disease cerebrospinal fluid reveals alterations associated with APOE ε4 and atomoxetine treatment</t>
  </si>
  <si>
    <t xml:space="preserve">2024   Proteome-wide Analyses Identified Cortical Proteins Associated With Resilience for Varied Cognitive Abilities</t>
  </si>
  <si>
    <t xml:space="preserve">2024   Mapping the microRNA landscape in the older adult brain and its genetic contribution to neuropsychiatric conditions</t>
  </si>
  <si>
    <t xml:space="preserve">2024   Lowering Hippocampal miR-29a Expression Slows Cognitive Decline and Reduces Beta-Amyloid Deposition in 5×FAD Mice</t>
  </si>
  <si>
    <t xml:space="preserve">2024   Lower Prevalence of Asymptomatic Alzheimer's Disease Among Healthy African Americans</t>
  </si>
  <si>
    <t xml:space="preserve">2024   Joint effects of air pollution and neighborhood socioeconomic status on cognitive decline - Mediation by depression, high cholesterol levels, and high blood pressure</t>
  </si>
  <si>
    <t xml:space="preserve">2024   Identifying latent genetic interactions in genome-wide association studies using multiple traits</t>
  </si>
  <si>
    <t xml:space="preserve">2024   Genetic regulation of microRNAs in the older adult brain and their contribution to neuropsychiatric conditions</t>
  </si>
  <si>
    <t xml:space="preserve">2024   Effects of brain microRNAs in cognitive trajectory and Alzheimer's disease</t>
  </si>
  <si>
    <t xml:space="preserve">2024   Beyond memory impairment: the complex phenotypic landscape of Alzheimer's disease</t>
  </si>
  <si>
    <t xml:space="preserve">2024   Association between Fine Particulate Matter Exposure and Cerebrospinal Fluid Biomarkers of Alzheimer ' s Disease among a Cognitively Healthy Population-Based Cohort</t>
  </si>
  <si>
    <t xml:space="preserve">2024   APOE loss-of-function variants: Compatible with longevity and associated with resistance to Alzheimer's disease pathology</t>
  </si>
  <si>
    <t xml:space="preserve">2024   Purpose‐in‐life associates with later onset and lower hazard for cognitive impairment in a population‐based, longitudinal cohort of diverse participants</t>
  </si>
  <si>
    <t xml:space="preserve">2024   GWAS of neuropsychiatric symptoms in Mild Cognitive Impairment and Alzheimer’s Disease/Related Disorders</t>
  </si>
  <si>
    <t xml:space="preserve">2024   SCAMPI: A scalable statistical framework for genome-wide interaction testing harnessing cross-trait correlations.</t>
  </si>
  <si>
    <t xml:space="preserve">2024   Bridging the gap: Multi-omics profiling of brain tissue in Alzheimer's disease and older controls in multi-ethnic populations.</t>
  </si>
  <si>
    <t xml:space="preserve">2024   A genome-wide investigation into the underlying genetic architecture of personality traits and overlap with psychopathology.</t>
  </si>
  <si>
    <t xml:space="preserve">2024   Association of PM2.5 Exposure and Alzheimer Disease Pathology in Brain Bank Donors-Effect Modification by APOE Genotype.</t>
  </si>
  <si>
    <t xml:space="preserve">2024   Large-scale deep proteomic analysis in Alzheimer's disease brain regions across race and ethnicity.</t>
  </si>
  <si>
    <t xml:space="preserve">2024   Epistatic Features and Machine Learning Improve Alzheimer's Disease Risk Prediction Over Polygenic Risk Scores.</t>
  </si>
  <si>
    <t xml:space="preserve">2023   White matter hyperintensities are higher among early-onset Alzheimer's disease participants than their cognitively normal and early-onset nonAD peers: Longitudinal Early-onset Alzheimer's Disease Study (LEADS)</t>
  </si>
  <si>
    <t xml:space="preserve">2023   The Sporadic Early-onset Alzheimer's Disease Signature Of Atrophy: Preliminary Findings From The Longitudinal Early-onset Alzheimer's Disease Study (leads) Cohort</t>
  </si>
  <si>
    <t xml:space="preserve">2023   Sex differences in brain protein expression and disease</t>
  </si>
  <si>
    <t xml:space="preserve">2023   Sex and APOE ε 4 carrier effects on atrophy, amyloid PET, and tau PET burden in early-onset Alzheimer's disease</t>
  </si>
  <si>
    <t xml:space="preserve">2023   Role of TET1-mediated epigenetic modulation in Alzheimer's disease</t>
  </si>
  <si>
    <t xml:space="preserve">2023   Profiling baseline performance on the Longitudinal Early-Onset Alzheimer's Disease Study (LEADS) cohort near the midpoint of data collection</t>
  </si>
  <si>
    <t xml:space="preserve">2023   Pathogenic variants in the Longitudinal Early-onset Alzheimer's Disease Study cohort</t>
  </si>
  <si>
    <t xml:space="preserve">2023   Lowering hippocampal miR-29a expression slows cognitive decline and reduces beta-amyloid deposition in 5xFAD mice</t>
  </si>
  <si>
    <t xml:space="preserve">2023   Learning slopes in early-onset Alzheimer's disease</t>
  </si>
  <si>
    <t xml:space="preserve">2023   Integrating Human Brain Proteomes With GWAS Results to Identify Causal Brain Proteins for the Major Psychiatric Disorders</t>
  </si>
  <si>
    <t xml:space="preserve">2023   Influence of amyloid and diagnostic syndrome on non-traditionalmemory scores in early-onset Alzheimer's disease</t>
  </si>
  <si>
    <t xml:space="preserve">2023   Important Correlates of Purpose in Life in a Diverse Population-Based Cohort: A Machine Learning</t>
  </si>
  <si>
    <t xml:space="preserve">2023   Identifying Brain Proteins Predisposing to PTSD</t>
  </si>
  <si>
    <t xml:space="preserve">2023   Cerebrospinal fluid proteomics define the natural history of autosomal dominant Alzheimer's disease</t>
  </si>
  <si>
    <t xml:space="preserve">… and 105 older titles, not shown</t>
  </si>
  <si>
    <t xml:space="preserve">Philip Rather   ·   PhD; BS</t>
  </si>
  <si>
    <t xml:space="preserve">prather@emory.edu</t>
  </si>
  <si>
    <t xml:space="preserve">https://med.emory.edu/directory/profile/?u=PRATHER</t>
  </si>
  <si>
    <t xml:space="preserve">Research in my laboratory focuses on the bacterium Acinetobacter baumannii, a critical threat to hospitalized patients and injured military personnel. We have identified a genetic switch that allows A. baumannii to interconvert between virulent and avirulent states. By manipulating this switch, a strain has been created that is locked in the avirulent state. Our studies have demonstrated that this locked strain serves as a highly effective live attenuated vaccine and confers 100% protection in mouse models of infection. In addition, high-throughput screening is being used to identify small molecules that convert A. baumannii from the virulent to the avirulent state. The overall goal of our work is to develop both a vaccine and novel antimicrobials to target this highly antibiotic resistant pathogen. In a second are of research, we are studying the effects of beta-lactamase overexpression on the physiology of A. baumannii. Our work has demonstrated that beta-lactamase overexpression can create new cellular vulnerabilities in A. baumannii, and genes that have a synthetic lethal phenotype in overexpressing strains have been identified. These gene products represent a new class of bacterial targets for the development of novel antimicrobials that selectively target antibiotic resistant bacteria.</t>
  </si>
  <si>
    <t xml:space="preserve">CsrA mediated regulation of a virulence switch in Acinetobacter baumannii</t>
  </si>
  <si>
    <t xml:space="preserve">Titles (23)</t>
  </si>
  <si>
    <t xml:space="preserve">2026   Activity of Corallopyronin A Against ESKAPEE Pathogens: Potential and Translational Implications</t>
  </si>
  <si>
    <t xml:space="preserve">2026   Loss of capsule confers a growth advantage to Acinetobacter spp. under microaerophilic conditions.</t>
  </si>
  <si>
    <t xml:space="preserve">2025   Restoring cefepime activity against multidrug-resistant KPC-producing Klebsiella pneumoniae by combination with boronic acid inhibitors, MB076 and S02030.</t>
  </si>
  <si>
    <t xml:space="preserve">2025   Repurposing a drug to punish carbapenem-resistant Acinetobacter baumannii.</t>
  </si>
  <si>
    <t xml:space="preserve">2025   Inter- and intra-bacterial strain diversity remains the "elephant in the (living) room".</t>
  </si>
  <si>
    <t xml:space="preserve">2025   Copy number flexibility facilitates heteroresistance to increasing antibiotic pressure and threatens the beta-lactam pipeline.</t>
  </si>
  <si>
    <t xml:space="preserve">2025   The BfmRS stress response protects Acinetobacter baumannii against defects in outer membrane lipoprotein biogenesis.</t>
  </si>
  <si>
    <t xml:space="preserve">2025   CsrA-mediated regulation of a virulence switch in Acinetobacter baumannii.</t>
  </si>
  <si>
    <t xml:space="preserve">2025   Mystique, a broad host range Acinetobacter phage, reveals the impact of culturing conditions on phage isolation and infectivity.</t>
  </si>
  <si>
    <t xml:space="preserve">2024   Evidence for Rho-dependent control of a virulence switch in Acinetobacter baumannii.</t>
  </si>
  <si>
    <t xml:space="preserve">2023   Collateral Changes in Cell Physiology Associated with ADC-7 β-Lactamase Expression in Acinetobacter baumannii.</t>
  </si>
  <si>
    <t xml:space="preserve">2020   Insights Into Mechanisms of Biofilm Formation in Acinetobacter baumannii and Implications for Uropathogenesis</t>
  </si>
  <si>
    <t xml:space="preserve">2020   Characterization of RelA in Acinetobacter baumannii.</t>
  </si>
  <si>
    <t xml:space="preserve">2019   Methods for Transposon Mutagenesis in Proteus mirabilis</t>
  </si>
  <si>
    <t xml:space="preserve">2019   Methods for Detecting N-Acyl Homoserine Lactone Production in Acinetobacter baumannii</t>
  </si>
  <si>
    <t xml:space="preserve">2019   Extraction and Visualization of Capsular Polysaccharide from Acinetobacter baumannii</t>
  </si>
  <si>
    <t xml:space="preserve">2019   Distinguishing Colony Opacity Variants and Measuring Opacity Variation in Acinetobacter baumannii</t>
  </si>
  <si>
    <t xml:space="preserve">2019   Allelic Exchange Mutagenesis in Proteus mirabilis</t>
  </si>
  <si>
    <t xml:space="preserve">2018   A high-frequency phenotypic switch links bacterial virulence and environmental survival in Acinetobacter baumannii</t>
  </si>
  <si>
    <t xml:space="preserve">2016   The Rcs regulon in Proteus mirabilis: implications for motility, biofilm formation, and virulence</t>
  </si>
  <si>
    <t xml:space="preserve">2014   Intercellular Signaling by Rhomboids in Eukaryotes and Prokaryotes</t>
  </si>
  <si>
    <t xml:space="preserve">2013   Role of rhomboid proteases in bacteria.</t>
  </si>
  <si>
    <t xml:space="preserve">2008   Characterization of a Novel Gene, wosA , Regulating FlhDC Expression in Proteus mirabilis</t>
  </si>
  <si>
    <t xml:space="preserve">Sean Mooney   ·   MD</t>
  </si>
  <si>
    <t xml:space="preserve">smmoone@emory.edu</t>
  </si>
  <si>
    <t xml:space="preserve">2023   The status of digital pathology and associated infrastructure within Alzheimer's Disease Centers.</t>
  </si>
  <si>
    <t xml:space="preserve">2019   Tau/MAPT disease-associated variant A152T alters tau function and toxicity via impaired retrograde axonal transport.</t>
  </si>
  <si>
    <t xml:space="preserve">John Pearce   ·   MD</t>
  </si>
  <si>
    <t xml:space="preserve">jjpearc@emory.edu</t>
  </si>
  <si>
    <t xml:space="preserve">2022   The complex relationship of air pollution and neighborhood socioeconomic status and their association with cognitive decline.</t>
  </si>
  <si>
    <t xml:space="preserve">2014   Using self-organizing maps to develop ambient air quality classifications: a time series example.</t>
  </si>
  <si>
    <t xml:space="preserve">Lindsay J. Collin   ·   PhD, MPH</t>
  </si>
  <si>
    <t xml:space="preserve">Cancer Prevention &amp; Control (Winship)
Epidemiology (RSPH)
Environmental Health (RSPH)
Global Health (RSPH)</t>
  </si>
  <si>
    <t xml:space="preserve">lindsay.jane.collin@emory.edu</t>
  </si>
  <si>
    <t xml:space="preserve">https://sph.emory.edu/profile/faculty/lindsay-collin</t>
  </si>
  <si>
    <t xml:space="preserve">Dr. Lindsay J Collin is an Assistant Professor in the Department of Epidemiology at the Rollins School of Public Health. Her overarching research interests are in cancer epidemiology, specifically in understanding multilevel (e.g., sociocontextual, patient-level, and molecular) predictors of treatment effectiveness, cancer recurrence, late effects, and mortality. Her research program is particularly interested in understanding racial and ethnic, and socioecnomic disparities in these outcomes. Dr. Collin also has methodologic research interests in validation substudy design, Bayesian statistics, and quantitative bias analysis. BSc., University of British Columbia Full publication list: https://www.ncbi.nlm.nih.gov/myncbi/lindsay.collin.1/bibliography/public/ Rollins Recent Research Publications</t>
  </si>
  <si>
    <t xml:space="preserve">Identifying factors associated with ovarian cancer recurrence using a population-based approach</t>
  </si>
  <si>
    <t xml:space="preserve">Titles (70)</t>
  </si>
  <si>
    <t xml:space="preserve">2026   Transcriptomic subtypes in high-grade serous ovarian cancer are driven by tumor cellular composition</t>
  </si>
  <si>
    <t xml:space="preserve">2026   Neighborhood deprivation and oncotype DX recurrence scores among Black and White women: the interplay between race, place, and tumor biology</t>
  </si>
  <si>
    <t xml:space="preserve">2026   Supplemental Table 9 from Genomic Characterization of High-Grade Serous Ovarian Carcinoma Reveals Distinct Somatic Features in Black Individuals</t>
  </si>
  <si>
    <t xml:space="preserve">2026   Associations of tattooing with health: a population-based cross-sectional study of ∼27,000 US adults</t>
  </si>
  <si>
    <t xml:space="preserve">2026   Associations Between Tattooing and Health Status: A Population-Based Cross-Sectional Study of Adults in Utah, 2020-2022.</t>
  </si>
  <si>
    <t xml:space="preserve">2026   Diminishing Returns Among Black Patients With Cancer: The Intersection of Race and Neighborhood Socioeconomic Status.</t>
  </si>
  <si>
    <t xml:space="preserve">2026   Differential misclassification by time: a proposed validation substudy design to account for time trends in bias parameters.</t>
  </si>
  <si>
    <t xml:space="preserve">2026   Meeting the moment: Addressing racial disparities in cancer survival.</t>
  </si>
  <si>
    <t xml:space="preserve">2026   Evaluating Estimators in Partially Identified Models.</t>
  </si>
  <si>
    <t xml:space="preserve">2026   Letter Re: Impact of early discontinuation of adjuvant endocrine therapy on survival in breast cancer: A target trial emulation.</t>
  </si>
  <si>
    <t xml:space="preserve">2026   Why Validation Substudies Matter.</t>
  </si>
  <si>
    <t xml:space="preserve">2025   Tattooing and risk of melanoma: a population-based case-control study in Utah</t>
  </si>
  <si>
    <t xml:space="preserve">2025   Table S3 from Patterns of Associations with Epidemiologic Factors by High-Grade Serous Ovarian Cancer Gene Expression Subtypes</t>
  </si>
  <si>
    <t xml:space="preserve">2025   Table S2 from CYP2D6 Phenotype and Breast Cancer Outcomes: A Bias Analysis and Meta-Analysis</t>
  </si>
  <si>
    <t xml:space="preserve">2025   Supplementary Table S9 from Associations of Post-Diagnosis Lifestyle with Prognosis in Women with Invasive Breast Cancer</t>
  </si>
  <si>
    <t xml:space="preserve">2025   Supplementary Table from Mortality Patterns of Synchronous Uterine and Ovarian Cancers: A SEER Registry Analysis</t>
  </si>
  <si>
    <t xml:space="preserve">2025   Supplementary Table 3 from Homologous Recombination Deficiency and Survival in Ovarian High-Grade Serous Carcinoma by Self-Reported Race</t>
  </si>
  <si>
    <t xml:space="preserve">2025   Supplementary Materials and Methods from Associations of Post-Diagnosis Lifestyle with Prognosis in Women with Invasive Breast Cancer</t>
  </si>
  <si>
    <t xml:space="preserve">2025   Supplementary Fig. S1 from Associations of Post-Diagnosis Lifestyle with Prognosis in Women with Invasive Breast Cancer</t>
  </si>
  <si>
    <t xml:space="preserve">2025   Supplemental Table 2 from Neoadjuvant Chemotherapy in Ovarian Cancer: Are There Racial Disparities in Use and Survival?</t>
  </si>
  <si>
    <t xml:space="preserve">2025   Perceived discrimination, trust in physicians, and their associations with ovarian cancer mortality among women in the African American Cancer Epidemiology Study</t>
  </si>
  <si>
    <t xml:space="preserve">2025   Neighborhood disorder and ovarian cancer survival in Black women</t>
  </si>
  <si>
    <t xml:space="preserve">2025   Genetic Ancestry and Risk of Atrial Fibrillation in Individuals of Black Ethnicity in the UK Biobank</t>
  </si>
  <si>
    <t xml:space="preserve">2025   Data from Patterns of Associations with Epidemiologic Factors by High-Grade Serous Ovarian Cancer Gene Expression Subtypes</t>
  </si>
  <si>
    <t xml:space="preserve">2025   Data from Neoadjuvant Chemotherapy in Ovarian Cancer: Are There Racial Disparities in Use and Survival?</t>
  </si>
  <si>
    <t xml:space="preserve">2025   Data from Mortality Patterns of Synchronous Uterine and Ovarian Cancers: A SEER Registry Analysis</t>
  </si>
  <si>
    <t xml:space="preserve">2025   Data from Homologous Recombination Deficiency and Survival in Ovarian High-Grade Serous Carcinoma by Self-Reported Race</t>
  </si>
  <si>
    <t xml:space="preserve">2025   Data from Genomic Characterization of High-Grade Serous Ovarian Carcinoma Reveals Distinct Somatic Features in Black Individuals</t>
  </si>
  <si>
    <t xml:space="preserve">2025   Data from CYP2D6 Phenotype and Breast Cancer Outcomes: A Bias Analysis and Meta-Analysis</t>
  </si>
  <si>
    <t xml:space="preserve">2025   Comorbid conditions and survival among Black women with ovarian cancer</t>
  </si>
  <si>
    <t xml:space="preserve">2025   Cancer in persons diagnosed with facial nerve paresis: A hospital-based cohort study in Denmark</t>
  </si>
  <si>
    <t xml:space="preserve">2025   A registry-based approach for estimating county-level race disparities in breast cancer mortality: an analysis in Georgia</t>
  </si>
  <si>
    <t xml:space="preserve">2025   17β-Hydroxysteroid dehydrogenases 1 and 2: potential markers for breast cancer recurrence and tamoxifen resistance among premenopausal women diagnosed with breast cancer in Denmark.</t>
  </si>
  <si>
    <t xml:space="preserve">2025   Abstract B123: Understanding racial disparities in breast cancer mortality beyond 10 years: The role of estrogen receptor status</t>
  </si>
  <si>
    <t xml:space="preserve">2024   The Population-level Effect of Adjuvant Therapies on Breast Cancer Recurrence: Application of the Trend-in-Trend Design</t>
  </si>
  <si>
    <t xml:space="preserve">2024   Tattoos and Risk of Hematologic Cancer: A Population‐Based Case–Control Study in Utah</t>
  </si>
  <si>
    <t xml:space="preserve">2024   Supplemental Table 2 from Sociodemographic and Socioeconomic Factors Correlate with Late-Stage Pediatric Hodgkin Lymphoma and Rhabdomyosarcoma: A Report from the Children’s Oncology Group Registries</t>
  </si>
  <si>
    <t xml:space="preserve">2024   Racial disparities in initiation of chemotherapy among breast cancer patients with discretionary treatment indication in the state of Georgia</t>
  </si>
  <si>
    <t xml:space="preserve">2024   Data from Sociodemographic and Socioeconomic Factors Correlate with Late-Stage Pediatric Hodgkin Lymphoma and Rhabdomyosarcoma: A Report from the Children’s Oncology Group Registries</t>
  </si>
  <si>
    <t xml:space="preserve">2024   Data from Associations of post-diagnosis lifestyle with prognosis in women with invasive breast cancer</t>
  </si>
  <si>
    <t xml:space="preserve">2024   The role of multiple mediation with contextual neighborhood measures in ovarian cancer survival.</t>
  </si>
  <si>
    <t xml:space="preserve">2023   Associations between health insurance status, neighborhood deprivation, and treatment delays in women with breast cancer living in Georgia</t>
  </si>
  <si>
    <t xml:space="preserve">2022   Time to Surgical Treatment and Facility Characteristics as Potential Drivers of Racial Disparities in Breast Cancer Mortality</t>
  </si>
  <si>
    <t xml:space="preserve">2022   Preexisting stress‐related diagnoses and mortality: A Danish cancer cohort study</t>
  </si>
  <si>
    <t xml:space="preserve">2022   Epidemiology beyond its limits</t>
  </si>
  <si>
    <t xml:space="preserve">2022   Drivers of racial, regional, and socioeconomic disparities in late‐stage breast cancer mortality</t>
  </si>
  <si>
    <t xml:space="preserve">2022   ASO Visual Abstract: Time to Surgical Treatment and Facility Characteristics as Potential Drivers of Racial Disparities in Breast Cancer Mortality: Delay, Facilities, and Breast Cancer Mortality</t>
  </si>
  <si>
    <t xml:space="preserve">2022   Misclassification of Neonatal Abstinence Syndrome Surveillance Estimates</t>
  </si>
  <si>
    <t xml:space="preserve">2021   Redlining, Lending Bias, and Breast Cancer Mortality—Reply</t>
  </si>
  <si>
    <t xml:space="preserve">2021   Neighborhood-Level Redlining and Lending Bias Are Associated with Breast Cancer Mortality in a Large and Diverse Metropolitan Area</t>
  </si>
  <si>
    <t xml:space="preserve">2021   Hypoxia-inducible factor-1α expression and breast cancer recurrence in a Danish population-based case control study</t>
  </si>
  <si>
    <t xml:space="preserve">2021   Early Discontinuation of Endocrine Therapy and Recurrence of Breast Cancer among Premenopausal Women</t>
  </si>
  <si>
    <t xml:space="preserve">2020   Application of the Adaptive Validation Substudy Design to Colorectal Cancer Recurrence</t>
  </si>
  <si>
    <t xml:space="preserve">2020   17β-Hydroxysteroid dehydrogenase 1:2 and breast cancer recurrence: a Danish population-based study</t>
  </si>
  <si>
    <t xml:space="preserve">2020   Widening the gap: greater racial and ethnic disparities in COVID-19 burden after accounting for missing race/ethnicity data</t>
  </si>
  <si>
    <t xml:space="preserve">2019   Reproductive characteristics modify the association between global DNA methylation and breast cancer risk in a population-based sample of women</t>
  </si>
  <si>
    <t xml:space="preserve">2019   Racial Disparities in Breast Cancer Outcomes in the Metropolitan Atlanta Area: New Insights and Approaches for Health Equity</t>
  </si>
  <si>
    <t xml:space="preserve">2019   Oncotype DX recurrence score implications for disparities in chemotherapy and breast cancer mortality in Georgia</t>
  </si>
  <si>
    <t xml:space="preserve">2019   Expression of survivin does not appear to influence breast cancer recurrence risk</t>
  </si>
  <si>
    <t xml:space="preserve">2019   Association of Sugary Beverage Consumption With Mortality Risk in US Adults</t>
  </si>
  <si>
    <t xml:space="preserve">… and 10 older titles, not shown</t>
  </si>
  <si>
    <t xml:space="preserve">Ashesh Jani   ·   MD; MS; BS</t>
  </si>
  <si>
    <t xml:space="preserve">abjani@emory.edu</t>
  </si>
  <si>
    <t xml:space="preserve">https://med.emory.edu/directory/profile/?u=ABJANI</t>
  </si>
  <si>
    <t xml:space="preserve">A board certified radiation oncologist, Ashesh B. Jani, MD, MSEE, FASTRO, specializes in the treatment of prostate, bladder, kidney, and testicular cancer. He treats patients at Winship Cancer Institute of Emory University. Dr. Jani is a Fellow of the American Society for Radiation Oncology. He is a member of several honorary societies including Alpha Omega Alpha Honor Medical Society and Tau Beta Pi/Eta Kappa Nu (engineering). He is also a Georgia Research Alliance Cancer Scientist. As past residency program director, Dr. Jani was actively involved in teaching residents and rotating medical students. He previously served as residency program director and assistant professor at the University of Chicago. Dr. Jani received his bachelor's degree in electrical engineering and master's degree in electrical and computer engineering at University of Illinois at Urbana-Champaign. He worked in the research and development departments of two major corporations before receiving his MD from University of Illinois at Chicago. After completing his internship at Rush Presbyterian St. Luke's Medical Center in Chicago, he completed residency in radiation oncology at the University of Chicago, where he served as chief resident. Dr. Jani is the recipient of many awards including the American Society of Clinical Oncology Merit Award, Samuel Hellman Outstanding Teacher Award and ASTRO-ESTRO Travel Grant. He has received several research grant awards including a Cytogen Corporation Research Grant, RSNA Seed Grant/Award, American Society for Therapeutic Radiation Oncology Junior Faculty Research Award/Grant, American Cancer Society Research Grant, Georgia Cancer Coalition Distinguished Cancer Clinician/Scientist Research Grant, NIH-R01 Research Grant and Department of Defense Prostate Cancer Research Program Grant. Dr. Jani's research focuses on different aspects of prostate cancer. His prostate database work centers on understanding the demographic, disease, and treatment factors influencing cancer control outcomes. He is also interested in the development of imaging technologies/algorithms to improve radiotherapy planning. Dr. Jani participates in several clinical trials involving radiation for prostate cancer. Dr. Jani has authored many journal publications, presented numerous research abstracts and has served as a moderator for several scientific meetings. He is a peer reviewer for radiotherapy, oncology and technical journals. Previously, he was a writer and examiner for the American Board of Radiology's written and oral certification examinations.</t>
  </si>
  <si>
    <t xml:space="preserve">Winship National Clinical Trials Network Lead Academic Participating Site</t>
  </si>
  <si>
    <t xml:space="preserve">Titles (12)</t>
  </si>
  <si>
    <t xml:space="preserve">2026   Treatment and outcomes of primary urethral cancer treated with radiation therapy</t>
  </si>
  <si>
    <t xml:space="preserve">2026   Coronary Plaque Progression After Androgen Deprivation Therapy in Men With Prostate Cancer: A Randomized Clinical Trial</t>
  </si>
  <si>
    <t xml:space="preserve">2026   Utilization, Cost, and Subsequent Salvage Treatment of Ablative Therapies for Localized Prostate Cancer in the United States</t>
  </si>
  <si>
    <t xml:space="preserve">2026   Efficient vision mamba for MRI super-resolution via hybrid selective scanning</t>
  </si>
  <si>
    <t xml:space="preserve">2026   18F-Fluciclovine or 68Ga-PSMA-11 PET/CT-guided Salvage Radiotherapy Changes in Postprostatectomy Biochemical Recurrence: Secondary Analysis of the EMPIRE-2 Trial.</t>
  </si>
  <si>
    <t xml:space="preserve">2026   A digital twin framework for adaptive treatment planning in radiotherapy.</t>
  </si>
  <si>
    <t xml:space="preserve">2026   [18F]-Fluciclovine or [68Ga]-PSMA-11 Molecular Imaging To Guide Dose Escalation of Salvage Radiotherapy After Radical Prostatectomy for Prostate Cancer: The EMPIRE-2 Trial.</t>
  </si>
  <si>
    <t xml:space="preserve">2026   MRI-guided neurovascular bundle avoidance in high dose rate prostate brachytherapy.</t>
  </si>
  <si>
    <t xml:space="preserve">2025   A novel inverse treatment planning training method for inexperienced treatment planners.</t>
  </si>
  <si>
    <t xml:space="preserve">2023   Plan Quality Analysis of Automated Treatment Planning Workflow With Commercial Auto-Segmentation Tools and Clinical Knowledge-Based Planning Models for Prostate Cancer.</t>
  </si>
  <si>
    <t xml:space="preserve">2020   Stereotactic Body Radiotherapy Versus Conventional/Moderate Fractionated Radiation Therapy with Androgen Deprivation Therapy for Unfavorable Risk Prostate Cancer</t>
  </si>
  <si>
    <t xml:space="preserve">Bladder activity of different PSMA PET radioligands and impact of furosemide</t>
  </si>
  <si>
    <t xml:space="preserve">Emily Kiernan   ·   DO</t>
  </si>
  <si>
    <t xml:space="preserve">eakiern@emory.edu</t>
  </si>
  <si>
    <t xml:space="preserve">2026   Expert Consensus on the Elements Needed for the Design of a Long-Term Population Health Study After the Detonation of an Improvised Nuclear Device.</t>
  </si>
  <si>
    <t xml:space="preserve">2026   ACMT and AACT Position Statement: Preventing Occupational Opioid Exposure to Emergency Responders.</t>
  </si>
  <si>
    <t xml:space="preserve">2025   Ocular toxicity due to methanol poisoning: a case series and review of the literature</t>
  </si>
  <si>
    <t xml:space="preserve">2025   A case of a diethylene glycol ingestion treated with fomepizole and its proposed elimination kinetics</t>
  </si>
  <si>
    <t xml:space="preserve">2025   Commentary on Paradichlorobenzene Toxicity by Clark et al.: A Hypothetical Interaction Between Iron Deficiency Anemia, Pica, and Substance Use Disorder.</t>
  </si>
  <si>
    <t xml:space="preserve">2025   895: ASSESSING UTILIZATION OF PLASMA EXCHANGE IN ECMO FOR CALCIUM CHANNEL BLOCKER INGESTIONS</t>
  </si>
  <si>
    <t xml:space="preserve">2024   Marchiafava-Bignami disease as a cause of toxic leukoencephalopathy in a 27-year-old patient: a case report</t>
  </si>
  <si>
    <t xml:space="preserve">2024   Locus of Control.</t>
  </si>
  <si>
    <t xml:space="preserve">2024   Physiologic Effects of Substance Use.</t>
  </si>
  <si>
    <t xml:space="preserve">2024   Identification and Health Risks of an Emerging Means of Drug Use in Correctional Facilities.</t>
  </si>
  <si>
    <t xml:space="preserve">2023   Hydrofluoric acid ingestions: Retrospective evaluations from cases reported to the National Poison Data System 2007-2017.</t>
  </si>
  <si>
    <t xml:space="preserve">2023   Factors Affecting the Choice to Specialize in Medical Toxicology.</t>
  </si>
  <si>
    <t xml:space="preserve">2023   Revisiting emergency department use of buprenorphine as a primary analgesic in nonopioid use disorder patients post-X-waiver.</t>
  </si>
  <si>
    <t xml:space="preserve">2022   Elevated methemoglobin levels in patients treated with hydroxocobalamin: a case series and in-vitro analysis.</t>
  </si>
  <si>
    <t xml:space="preserve">2022   Veratrum parviflorum poisoning: identification of steroidal alkaloids in patient blood and breast milk.</t>
  </si>
  <si>
    <t xml:space="preserve">2022   Woman with abdominal distension and cardiac arrest.</t>
  </si>
  <si>
    <t xml:space="preserve">2021   Articles You Might Have Missed—AACT Radiation Special Interest Section</t>
  </si>
  <si>
    <t xml:space="preserve">2021   Articles You Might Have Missed</t>
  </si>
  <si>
    <t xml:space="preserve">2021   A Brief Overview of the National Outbreak of e-Cigarette, or Vaping, Product Use-Associated Lung Injury and the Primary Causes.</t>
  </si>
  <si>
    <t xml:space="preserve">2021   Two Cases of Serotonin Syndrome After Bupropion Overdose Treated With Cyproheptadine.</t>
  </si>
  <si>
    <t xml:space="preserve">2020   Update: Interim guidance for health care professionals evaluating and caring for patients with suspected E-cigarette, or vaping, product use–associated lung injury and for reducing the risk for rehospitalization and death following hospital discharge — United States, December 2019</t>
  </si>
  <si>
    <t xml:space="preserve">2020   Elevated Methemoglobin Levels in a Patient Treated with Hydroxocobalamin After Suspected Cyanide Exposure.</t>
  </si>
  <si>
    <t xml:space="preserve">2020   Demographics, Substance Use Behaviors, and Clinical Characteristics of Adolescents With e-Cigarette, or Vaping, Product Use-Associated Lung Injury (EVALI) in the United States in 2019.</t>
  </si>
  <si>
    <t xml:space="preserve">2020   Single-Agent Bupropion Exposures: Clinical Characteristics and an Atypical Cause of Serotonin Toxicity.</t>
  </si>
  <si>
    <t xml:space="preserve">2020   All that glitters is not gold: Mercury poisoning in a family mimicking an infectious illness.</t>
  </si>
  <si>
    <t xml:space="preserve">2020   Hospitalizations and Deaths Associated with EVALI.</t>
  </si>
  <si>
    <t xml:space="preserve">2019   Clinical and Demographic Parameters of Patients Treated Using a Sepsis Protocol</t>
  </si>
  <si>
    <t xml:space="preserve">2019   Severe Pulmonary Disease Associated with Electronic-Cigarette-Product Use - Interim Guidance.</t>
  </si>
  <si>
    <t xml:space="preserve">2019   Update: Interim Guidance for Health Care Providers Evaluating and Caring for Patients with Suspected E-cigarette, or Vaping, Product Use Associated Lung Injury - United States, October 2019.</t>
  </si>
  <si>
    <t xml:space="preserve">2019   Update: Interim Guidance for Health Care Providers for Managing Patients with Suspected E-cigarette, or Vaping, Product Use-Associated Lung Injury - United States, November 2019.</t>
  </si>
  <si>
    <t xml:space="preserve">2018   Perception and Practice Among Emergency Medicine Health Care Providers Regarding Discharging Patients After Opioid Administration</t>
  </si>
  <si>
    <t xml:space="preserve">Bashar Staitieh   ·   MD</t>
  </si>
  <si>
    <t xml:space="preserve">bstaiti@emory.edu</t>
  </si>
  <si>
    <t xml:space="preserve">https://med.emory.edu/directory/profile/?u=BSTAITI</t>
  </si>
  <si>
    <t xml:space="preserve">Dr. Staitieh was born in Greensboro, NC and grew up in Kansas before returning to North Carolina for undergraduate studies at the University of North Carolina at Chapel Hill. There, in an effort to hone his medical skills, he majored in English Literature and graduated with honors and distinction after writing his thesis on alliteration in the work of Philip Larkin. He then attended medical school at the University of Kansas before heading to New England and Brown University's Categorical Internal Medicine Program. There, he served as Chief Resident before moving to Atlanta, where he caught the research bug as a second-year fellow in the lab of Dr. David Guidot. After a four year and two-month long fellowship, he joined the Emory pulmonary faculty in 2015. Dr. Staitieh currently works in Dr. Guidot's laboratory on oxidative stress and innate immune function in the alveolar macrophage. During his fellowship, he developed an interest in the effects of HIV on the lung and, with the help of the Infectious Diseases faculty, he started a clinic for patients with HIV-related pulmonary diseases at the Ponce de Leon Center. He attends on the medical ICU service at Emory University Hospital Midtown and the pulmonary consult service at Grady Memorial Hospital.</t>
  </si>
  <si>
    <t xml:space="preserve">Investigating alveolar macrophages in PLWH as targets for HIV persistence, residual inflammation and immune ac</t>
  </si>
  <si>
    <t xml:space="preserve">2026   Ventilator waveform interpretation skills of attending intensivists relative to critical care fellows (VISA) study.</t>
  </si>
  <si>
    <t xml:space="preserve">2025   Pioglitazone Reverses Alcohol-induced Human Immunodeficiency Virus (HIV) Replication and IL-1β Expression in Alveolar Macrophages.</t>
  </si>
  <si>
    <t xml:space="preserve">2025   Challenges of Managing Pulmonary Disease in the Immunocompromised Host.</t>
  </si>
  <si>
    <t xml:space="preserve">2025   Pioglitazone Modulates p65-Mediated Mitochondrial Bioenergetics: Implications for Acetaldehyde-Induced HIV Replication in Alveolar Macrophages.</t>
  </si>
  <si>
    <t xml:space="preserve">2025   HIV alters immunometabolic phenotypes of alveolar macrophages during chronic alcohol consumption 2795</t>
  </si>
  <si>
    <t xml:space="preserve">2024   Comparison of Web-Based and On-Site Lung Simulators for Education in Mechanical Ventilation.</t>
  </si>
  <si>
    <t xml:space="preserve">2024   Brief Report: Alternative Pulmonary Function Measures of Emphysema in People With HIV.</t>
  </si>
  <si>
    <t xml:space="preserve">2023   Paired ATAC- and RNA-seq offer insight into the impact of HIV on alveolar macrophages: a pilot study.</t>
  </si>
  <si>
    <t xml:space="preserve">2023   Chronic alcohol use primes bronchial cells for altered inflammatory response and barrier dysfunction during SARS-CoV-2 infection.</t>
  </si>
  <si>
    <t xml:space="preserve">2023   HIV Increases the Risk of Cigarette Smoke-Induced Emphysema Through MMP-9.</t>
  </si>
  <si>
    <t xml:space="preserve">2023   Mycobacterium tuberculosis-specific cytokine responses according to HIV status among household contacts of people with TB.</t>
  </si>
  <si>
    <t xml:space="preserve">2022   Alcohol impairs recognition and uptake of Mycobacterium tuberculosis by suppressing toll-like receptor 2 expression.</t>
  </si>
  <si>
    <t xml:space="preserve">2022   The Impact of Alcohol Use Disorder on Tuberculosis: A Review of the Epidemiology and Potential Immunologic Mechanisms.</t>
  </si>
  <si>
    <t xml:space="preserve">2021   Granulocyte Macrophage-Colony Stimulating Factor Reverses HIV Protein-Induced Mitochondrial Derangements in Alveolar Macrophages.</t>
  </si>
  <si>
    <t xml:space="preserve">2021   Diagnosis and Management of HIV-Associated Pulmonary Diseases in a Ryan White-Funded Primary Care Setting.</t>
  </si>
  <si>
    <t xml:space="preserve">2021   HIV Impairs Alveolar Macrophage Function via MicroRNA-144-Induced Suppression of Nrf2.</t>
  </si>
  <si>
    <t xml:space="preserve">2021   Alcohol Decreases the Barrier Function of Airway Epithelial cells through the TGFß1 Pathway</t>
  </si>
  <si>
    <t xml:space="preserve">2020   HIV and the tuberculosis "set point": how HIV impairs alveolar macrophage responses to tuberculosis and sets the stage for progressive disease.</t>
  </si>
  <si>
    <t xml:space="preserve">2020   Extrafollicular B cell responses correlate with neutralizing antibodies and morbidity in COVID-19.</t>
  </si>
  <si>
    <t xml:space="preserve">2019   Low Hemoglobin Saturation in the Setting of Hyperuricemia.</t>
  </si>
  <si>
    <t xml:space="preserve">2019   Alcohol-Induced Interleukin-17 Expression Causes Murine Lung Fibroblast-to-Myofibroblast Transdifferentiation via Thy-1 Down-Regulation.</t>
  </si>
  <si>
    <t xml:space="preserve">2019   The Corseted Alveolus.</t>
  </si>
  <si>
    <t xml:space="preserve">2019   MiR-144 mediates Nrf2 inhibition and alveolar epithelial dysfunction in HIV-1 transgenic rats.</t>
  </si>
  <si>
    <t xml:space="preserve">2018   Chronic Alcohol Ingestion Impairs Rat Alveolar Macrophage Phagocytosis via Disruption of RAGE Signaling.</t>
  </si>
  <si>
    <t xml:space="preserve">2018   Oxidative stress in critically ill ventilated adults: effects of vitamin D 3 and associations with alveolar macrophage function.</t>
  </si>
  <si>
    <t xml:space="preserve">2017   Interpretation of Pulmonary Function Tests: Beyond the Basics</t>
  </si>
  <si>
    <t xml:space="preserve">2017   Epidemiology of Sepsis: Current Data and Predictions for the Future</t>
  </si>
  <si>
    <t xml:space="preserve">2017   HIV-related proteins prolong macrophage survival through induction of Triggering receptor expressed on myeloid cells-1.</t>
  </si>
  <si>
    <t xml:space="preserve">2014   Noninfectious pulmonary complications of human immunodeficiency virus infection.</t>
  </si>
  <si>
    <t xml:space="preserve">Jay Shah   ·   MD</t>
  </si>
  <si>
    <t xml:space="preserve">jhshah2@emory.edu</t>
  </si>
  <si>
    <t xml:space="preserve">https://med.emory.edu/directory/profile/?u=JHSHAH2</t>
  </si>
  <si>
    <t xml:space="preserve">Dr. Jay Shah is a pediatric and interventional radiologist at Children's Healthcare of Atlanta (CHOA), with joint appointment as Associate Professor in the Emory School of Medicine Department of Radiology, the Department of Pediatrics, and the Department of Dermatology. His clinical interests include vascular anomalies and ablative therapies for a variety of conditions. He has achieved the clinical distinction of Senior Physician for his exceptional record of clinical service. The Children’s Pediatric Technology Center at Georgia Tech (PTC) has named Dr. Shah to co-lead its work in Technology and Devices (Pillar 3) because he has a deep understanding of what it takes to translate and implement medical technologies to help improve the lives of children. A 2025 graduate of the Emory Radiology Leadership Academy (RLI), Dr. Shah additionally co-directs Emory Radiology's Global Health Residency Program track and serves on the Global Health Committee. Currently he is involved with humanitarian work as a Doctors Without Borders (MSF) telemedicine consultant . He has previously worked as a Congressional Fellow in Healthcare in the U.S. House of Representatives and continues to pursue advocacy work even today. He is involved with a variety of organizations and serves on several national and institutional committees, including in such organizations as Society for Pediatric Radiology (SPR), Society of Interventional Radiology, amongst others. Dr. Shah earned his MD at Michigan State University College of Human Medicine followed by internship in Kalamazoo, MI before working as a Radiology resident in New York City, NY. He arrived in Atlanta to complete fellowship in Interventional Radiology at Emory University, followed by a fellowship in Pediatric Radiology at Emory University and CHOA.</t>
  </si>
  <si>
    <t xml:space="preserve">2026   A Global Paediatric IR Moonshot: Establishing, Improving and Maintaining Quality in Paediatric IR Globally.</t>
  </si>
  <si>
    <t xml:space="preserve">2026   Disparities in Diagnostic Yield of Genetic Testing in Children and Adolescents With Vascular Malformations and/or Overgrowth: A Single Site Experience.</t>
  </si>
  <si>
    <t xml:space="preserve">2026   Time-Driven Activity-Based Costing of Sclerotherapy for the Treatment of Venous Malformations at a National Referral Hospital in Tanzania.</t>
  </si>
  <si>
    <t xml:space="preserve">2025   Superior vena cava (SVC) stent placement in children and young adults with congenitally normal cardiac and caval anatomy.</t>
  </si>
  <si>
    <t xml:space="preserve">2025   Factors Associated with Acute Respiratory Infection among Children Under 5 Years in India: Results from 2019 to 2021 National Family Health Survey.</t>
  </si>
  <si>
    <t xml:space="preserve">2025   Resolution of chyluria due to congenital malformation with a minimally invasive procedure.</t>
  </si>
  <si>
    <t xml:space="preserve">2025   Percutaneous Ablation versus Radiotherapy for Pain Related to Bone and Soft Tissue Malignancies: A Multipayor Database Analysis of Outcomes.</t>
  </si>
  <si>
    <t xml:space="preserve">2025   Recent Advances in Interventional Management of Extracranial Vascular Malformations in Children.</t>
  </si>
  <si>
    <t xml:space="preserve">2025   Primer on Renovascular Hypertension in Children: Focus on Endovascular Intervention.</t>
  </si>
  <si>
    <t xml:space="preserve">2025   Respiration-Induced Organ Motion Compensation: A Review.</t>
  </si>
  <si>
    <t xml:space="preserve">2025   Disparities in Pediatric Emergency Department Revisits Within 7 Days by Disease Process.</t>
  </si>
  <si>
    <t xml:space="preserve">2025   Mid-to-long term outcomes following renal artery angioplasty in children and young adults with renal artery stenosis: a retrospective review.</t>
  </si>
  <si>
    <t xml:space="preserve">2025   Passive neck brace for surgeons.</t>
  </si>
  <si>
    <t xml:space="preserve">2024   Impact of ambient air pollution and socio-environmental factors on the health of children younger than 5 years in India: a population-based analysis</t>
  </si>
  <si>
    <t xml:space="preserve">2024   Diagnosis of Vascular Anomalies in Patients with Skin of Color.</t>
  </si>
  <si>
    <t xml:space="preserve">2024   Bridging the Divide: Unintended Consequences of the Shift to Home-Based Telemedicine.</t>
  </si>
  <si>
    <t xml:space="preserve">2024   A Validated Risk Stratification That Incorporates MAGIC Biomarkers Predicts Long-Term Outcomes in Pediatric Patients with Acute GVHD.</t>
  </si>
  <si>
    <t xml:space="preserve">2024   Body-Mounted MR-Conditional Robot for Minimally Invasive Liver Intervention.</t>
  </si>
  <si>
    <t xml:space="preserve">2024   Incidence of Sudden Cardiac Death in Low- and Middle-Income Countries: A Systematic Review of Cohort Studies.</t>
  </si>
  <si>
    <t xml:space="preserve">2024   A case of image-guided hematometrocolpos drainage requiring tissue plasminogen activator in a pediatric patient</t>
  </si>
  <si>
    <t xml:space="preserve">2023   Grown from Global Roots: American Radiology and Health Diplomacy</t>
  </si>
  <si>
    <t xml:space="preserve">Sreedhara Sangadala   ·   PhD; MSc</t>
  </si>
  <si>
    <t xml:space="preserve">ssangad@emory.edu</t>
  </si>
  <si>
    <t xml:space="preserve">2026   Context-Dependent Effects of Platelet-Derived Growth Factor on Osteogenesis in 2D and 3D Fibrin Models.</t>
  </si>
  <si>
    <t xml:space="preserve">2026   Relyophilized collagen scaffold to improve handling and small molecule loading.</t>
  </si>
  <si>
    <t xml:space="preserve">2025   Osteogenic Small Molecule FK506 for Enhanced Bone Formation in a Rabbit Ankle Fusion Model.</t>
  </si>
  <si>
    <t xml:space="preserve">2024   Local FK506 delivery induces osteogenesis in rat bone defect and rabbit spine fusion models.</t>
  </si>
  <si>
    <t xml:space="preserve">2024   Local FK506 delivery induces osteogenesis in in vivo rat bone defect and rabbit spine fusion models.</t>
  </si>
  <si>
    <t xml:space="preserve">2023   Sclerostin small-molecule inhibitors promote osteogenesis by activating canonical Wnt and BMP pathways.</t>
  </si>
  <si>
    <t xml:space="preserve">2023   Multifocal heterotopic ossification in a man with germline variants of LIM Mineralization Protein-1 (LMP-1).</t>
  </si>
  <si>
    <t xml:space="preserve">2023   Author response: Sclerostin small-molecule inhibitors promote osteogenesis by activating canonical Wnt and BMP pathways</t>
  </si>
  <si>
    <t xml:space="preserve">2020   Correction: Sangadala, S. et al. FK506 Induces Ligand-Independent Activation of the Bone Morphogenetic Protein Pathway and Osteogenesis. Int. J. Mol. Sci. 2019, 20, 1900.</t>
  </si>
  <si>
    <t xml:space="preserve">2020   Noggin regulates foregut progenitor cell programming, and misexpression leads to esophageal atresia.</t>
  </si>
  <si>
    <t xml:space="preserve">2019   FK506 Induces Ligand-Independent Activation of the Bone Morphogenetic Protein Pathway and Osteogenesis.</t>
  </si>
  <si>
    <t xml:space="preserve">2009   Engineering, cloning, and functional characterization of recombinant LIM mineralization protein-1 containing an N-terminal HIV-derived membrane transduction domain.</t>
  </si>
  <si>
    <t xml:space="preserve">2008   Expression, purification and mass spectrometric analysis of LIM mineralization protein-1 in human lung epithelial cells.</t>
  </si>
  <si>
    <t xml:space="preserve">2007   Molecular interaction between Smurf1 WW2 domain and PPXY motifs of Smad1, Smad5, and Smad6--modeling and analysis.</t>
  </si>
  <si>
    <t xml:space="preserve">2007   Modeling and analysis of molecularinteraction between Smurf1-WW2 domain and various isoforms of LIM mineralization protein.</t>
  </si>
  <si>
    <t xml:space="preserve">2006   LIM mineralization protein-1 potentiates bone morphogenetic protein responsiveness via a novel interaction with Smurf1 resulting in decreased ubiquitination of Smads.</t>
  </si>
  <si>
    <t xml:space="preserve">Lisa Smith   ·   MD; PharmD; FNP-C</t>
  </si>
  <si>
    <t xml:space="preserve">llsmit8@emory.edu</t>
  </si>
  <si>
    <t xml:space="preserve">2026   An Appraisal of Pharmacotherapy-Pertinent Literature Published in 2023 and 2024 for Clinicians Caring for Patients with Thermal or Inhalation Injury.</t>
  </si>
  <si>
    <t xml:space="preserve">2025   Fatal Borealpox in an Immunosuppressed Patient Treated With Antivirals and Vaccinia Immunoglobulin-Alaska, 2023.</t>
  </si>
  <si>
    <t xml:space="preserve">2025   Unsupervised learning to identify symptom clusters in older adults undergoing chemotherapy.</t>
  </si>
  <si>
    <t xml:space="preserve">2024   An Appraisal of Pharmacotherapy-Pertinent Literature Published in 2021 and 2022 for Clinicians Caring for Patients With Thermal or Inhalation Injury.</t>
  </si>
  <si>
    <t xml:space="preserve">2022   A Review of the Most Impactful Published Pharmacotherapy-Pertinent Literature of 2019 and 2020 for Clinicians Caring for Patients With Thermal or Inhalation Injury.</t>
  </si>
  <si>
    <t xml:space="preserve">Randy Trumbower   ·   PhD; MS; BS</t>
  </si>
  <si>
    <t xml:space="preserve">rdtrumb@emory.edu</t>
  </si>
  <si>
    <t xml:space="preserve">2024   Non-invasive spinal cord electrical stimulation for arm and hand function in chronic tetraplegia: a safety and efficacy trial.</t>
  </si>
  <si>
    <t xml:space="preserve">2014   Introduction to Regenerative Medicine</t>
  </si>
  <si>
    <t xml:space="preserve">2010   Co-contraction modifies the stretch reflex elicited in muscles shortened by a joint perturbation</t>
  </si>
  <si>
    <t xml:space="preserve">Jennifer Murphy   ·   MD</t>
  </si>
  <si>
    <t xml:space="preserve">jhmurph@emory.edu</t>
  </si>
  <si>
    <t xml:space="preserve">https://www.emoryhealthcare.org/providers/jennifer-heatwole-murphy-5819234</t>
  </si>
  <si>
    <t xml:space="preserve">2026   Non-operative management of pediatric, uncomplicated acute appendicitis: A survey of pediatric surgeons' perceptions and practice.</t>
  </si>
  <si>
    <t xml:space="preserve">2026   A review of evidence supporting amyloid beta reduction as a surrogate endpoint in Alzheimer's disease.</t>
  </si>
  <si>
    <t xml:space="preserve">2026   Possibilities and Limitations for Conducting Wastewater and Environmental Surveillance in Refugee Camps Worldwide.</t>
  </si>
  <si>
    <t xml:space="preserve">2026   Cell Culture Infectivity to Assess Chlorine Disinfection of Cryptosporidium Oocysts in Water.</t>
  </si>
  <si>
    <t xml:space="preserve">2025   Evaluation of an Emergency Water Tank Monitoring Program Implemented During Cholera Outbreak in Lusaka, Zambia (2017-2018).</t>
  </si>
  <si>
    <t xml:space="preserve">2025   Evaluation of cognitive, functional, and behavioral effects observed in EMERGE, a phase 3 trial of aducanumab in people with early Alzheimer's disease.</t>
  </si>
  <si>
    <t xml:space="preserve">2025   System readiness and the patient care pathway for Alzheimer's disease diagnosis and treatment.</t>
  </si>
  <si>
    <t xml:space="preserve">2024   An environmental evaluation of urine-diverting dry toilets in Hiloweyn Camp, Dollo Ado, Ethiopia.</t>
  </si>
  <si>
    <t xml:space="preserve">2024   ATP-based assessments of recent cleaning and disinfection for high-touch surfaces in low-resource shared toilets.</t>
  </si>
  <si>
    <t xml:space="preserve">2023   Evaluation of SaTo pans as a new latrine technology in Kisumu County healthcare facilities, Kenya.</t>
  </si>
  <si>
    <t xml:space="preserve">2023   SARS-CoV-2 surface contamination in metro-Atlanta grocery stores.</t>
  </si>
  <si>
    <t xml:space="preserve">2022   Case-control study in ALS using the National ALS Registry: lead and agricultural chemicals are potential risk factors.</t>
  </si>
  <si>
    <t xml:space="preserve">2022   Improving water, sanitation, and hygiene (WASH), with a focus on hand hygiene, globally for community mitigation of COVID-19.</t>
  </si>
  <si>
    <t xml:space="preserve">2022   Development and evaluation of a ligation-free sequence-independent, single-primer amplification (LF-SISPA) assay for whole genome characterization of viruses.</t>
  </si>
  <si>
    <t xml:space="preserve">2021   Detection and identification of Giardia species using real-time PCR and sequencing.</t>
  </si>
  <si>
    <t xml:space="preserve">2021   Acceptability of urine diversion dry toilets in Dollo Ado refugee camp, Ethiopia.</t>
  </si>
  <si>
    <t xml:space="preserve">2021   Removal and Inactivation of an Enveloped Virus Surrogate by Iron Conventional Coagulation and Electrocoagulation.</t>
  </si>
  <si>
    <t xml:space="preserve">Shabtab Khan   ·   MD</t>
  </si>
  <si>
    <t xml:space="preserve">skhan61@emory.edu</t>
  </si>
  <si>
    <t xml:space="preserve">https://med.emory.edu/directory/profile/?u=SKHAN61</t>
  </si>
  <si>
    <t xml:space="preserve">Dr. Shabtab Khan is a distinguished nephrologist with a notable academic and clinical background. She completed her medical education at Ross University, followed by an internal medicine residency at the AU-UGA Medical Partnership in Athens, GA. She further specialized with a nephrology fellowship at Emory University. Currently, Dr. Khan serves as an Assistant Professor at Emory University and as a nephrology attending at the Atlanta VA Hospital. Beyond her professional life, she enjoys reading and cherishing moments with her husband and daughter.</t>
  </si>
  <si>
    <t xml:space="preserve">2025   A Case of Hyperviscosity Syndrome Managed with Plasmapheresis</t>
  </si>
  <si>
    <t xml:space="preserve">Laura Blackwell   ·   PhD, ABPP-CN</t>
  </si>
  <si>
    <t xml:space="preserve">laura.blackwell@choa.org</t>
  </si>
  <si>
    <t xml:space="preserve">https://med.emory.edu:443/departments/pediatrics/news/laura-blackwell.html</t>
  </si>
  <si>
    <t xml:space="preserve">Dr. Blackwell focuses on different acute and chronic markers of injury, including an interest in an inflammatory marker called osteopontin. She is examining whether elevations in these inflammatory markers, possibly reflective of the secondary cascades of traumatic brain injury, lead to worse outcomes. Dr. Blackwell and her team received an NIH R21 to study osteopontin from a diagnostic and prognostic standpoint. They finished this study last year and recently published on the initial findings. As a follow up to this study, the team is embarking on a very large biorepository project where they plan to collect several biospecimens (blood, tissue, and CSF) from children and adolescents who have had both general and head trauma. The goal is to build a biorepository that can be used to investigate current and novel markers that will ultimately help direct treatment, management and provide information about prognosis following trauma.</t>
  </si>
  <si>
    <t xml:space="preserve">Titles (13)</t>
  </si>
  <si>
    <t xml:space="preserve">2026   Evaluating Diagnostic Strategies for Pediatric Traumatic Brain Injury: A Literature-Based Clinical Decision Analysis.</t>
  </si>
  <si>
    <t xml:space="preserve">2025   Inflammasome links traumatic brain injury, chronic traumatic encephalopathy, and Alzheimer's disease.</t>
  </si>
  <si>
    <t xml:space="preserve">2024   Rate of Autoimmune Encephalitis in Children With First-Episode Psychosis.</t>
  </si>
  <si>
    <t xml:space="preserve">2023   Prognostic Value of Plasma Biomarkers S100B and Osteopontin in Pediatric TBI: A Prospective Analysis Evaluating Acute and 6-Month Outcomes after Mild to Severe TBI</t>
  </si>
  <si>
    <t xml:space="preserve">2023   Social-environmental factors as mediators of IQ and achievement differences across race groups in adolescents with high risk congenital heart disease.</t>
  </si>
  <si>
    <t xml:space="preserve">2023   Assessment of cognitive status in pediatric anti-NMDA receptor encephalitis during inpatient rehabilitation: A retrospective cohort.</t>
  </si>
  <si>
    <t xml:space="preserve">2023   Sleep Characteristics in Pediatric Anti-N-methyl-d-aspartate (NMDA) Receptor Encephalitis: A Retrospective Cohort Study.</t>
  </si>
  <si>
    <t xml:space="preserve">2022   The neutrophil-to-lymphocyte ratio is associated with intubation in pediatric anti-NMDA receptor encephalitis: A retrospective study.</t>
  </si>
  <si>
    <t xml:space="preserve">2021   Evaluation of the Anti-N-Methyl-D-Aspartate Receptor Encephalitis One-Year Functional Status Score in Predicting Functional Outcomes in Pediatric Patients with Anti-N-Methyl-D-Aspartate Receptor Encephalitis.</t>
  </si>
  <si>
    <t xml:space="preserve">2021   Pharmacologic Treatment and Early Rehabilitation Outcomes in Pediatric Patients With Anti-NMDA Receptor Encephalitis.</t>
  </si>
  <si>
    <t xml:space="preserve">2021   Electroencephalography characteristics to predict one-year outcomes in pediatric anti-NMDA receptor encephalitis.</t>
  </si>
  <si>
    <t xml:space="preserve">2021   Does the NEOS Score Predict Outcomes in Pediatric Anti-NMDA Receptor Encephalitis Patients? (1860)</t>
  </si>
  <si>
    <t xml:space="preserve">2016   Acute and Long-Term Outcomes Following Pediatric Traumatic Brain Injury</t>
  </si>
  <si>
    <t xml:space="preserve">Betsy Gard   ·   PhD</t>
  </si>
  <si>
    <t xml:space="preserve">bgard@emory.edu</t>
  </si>
  <si>
    <t xml:space="preserve">2023   Community-led identification of mental health support, challenges, and needs among Ethiopian immigrants to the U.S.: opportunities for partnership with faith communities</t>
  </si>
  <si>
    <t xml:space="preserve">2021   Integrating Diversity, Equity, and Inclusion Into an Academic Department of Psychiatry and Behavioral Sciences.</t>
  </si>
  <si>
    <t xml:space="preserve">2006   Community mental health response to crisis.</t>
  </si>
  <si>
    <t xml:space="preserve">2005   Incorporating community mental health into local bioterrorism response planning: experiences from the DeKalb County Board of Health.</t>
  </si>
  <si>
    <t xml:space="preserve">1979   Hypnotic Age Regression and Cognitive Perceptual Tasks</t>
  </si>
  <si>
    <t xml:space="preserve">Samuel Dotson   ·   MD</t>
  </si>
  <si>
    <t xml:space="preserve">sdotso3@emory.edu</t>
  </si>
  <si>
    <t xml:space="preserve">https://med.emory.edu/directory/profile/?u=SDOTSO3</t>
  </si>
  <si>
    <t xml:space="preserve">Dr. Dotson is board certified in adult psychiatry. He received his Doctor of Medicine with distinction from the University of North Carolina at Chapel Hill in 2017. He then completed his psychiatry residency at the combined Massachusetts General and McLean Hospital program at Harvard Medical School where he served as a chief resident. His research interests have included comparative psychopharmacology for severe mental illness and work on health inequities. In 2020, he was awarded the George Winokur Clinical Research Award from the American Academy of Clinical Psychiatrists for his research on antipsychotics. In addition to his adjunct work with Emory, Dr. Dotson provides outpatient clinical care at the Northeast Georgia Health System (NGHS) in Gainesville where he serves as the program director for their adult psychiatry residency program. He is also a member of the editorial boards for the journals Academic Psychiatry and Psychiatric Services.</t>
  </si>
  <si>
    <t xml:space="preserve">2025   The 16-minute Hour: Combining Abbreviated Psychotherapy With Medication Visits. Part 4: Cognitive-behavioral Therapy.</t>
  </si>
  <si>
    <t xml:space="preserve">2025   Measuring the Unmeasured: U.S. Civil Commitment Rates.</t>
  </si>
  <si>
    <t xml:space="preserve">2025   The 16-minute Hour: Combining Abbreviated Psychotherapy With Medication Visits. Part 2: Supportive Psychotherapy.</t>
  </si>
  <si>
    <t xml:space="preserve">2025   The 16-minute Hour: Combining Abbreviated Psychotherapy With Medication Visits. Part 1: Introduction.</t>
  </si>
  <si>
    <t xml:space="preserve">2025   The 16-Minute Hour: Combining Abbreviated Psychotherapy With Medication Visits. Part 3: Psychodynamic Therapy.</t>
  </si>
  <si>
    <t xml:space="preserve">2025   Psychedelic Therapeutics for Adolescents: Ethics, Safety, Opportunities, and Equipoise.</t>
  </si>
  <si>
    <t xml:space="preserve">Stephen Miller   ·   MD</t>
  </si>
  <si>
    <t xml:space="preserve">smill02@emory.edu</t>
  </si>
  <si>
    <t xml:space="preserve">https://www.choa.org/doctors/stephen-f-miller</t>
  </si>
  <si>
    <t xml:space="preserve">Medical School:University of Illinois College of Medicine at RockfordResidency:Duke University Medical CenterFellowship:Children's Hospital of Akron Stephen Miller, MD, joined Children’s Healthcare of Atlanta in 2020 as a Sports Medicine Pediatrician. Dr. Miller grew up in rural Illinois along the Mississippi River. He trained in pediatrics at Duke University Medical Center and later in pediatric sports medicine at Children’s Hospital of Akron. He is board-certified in pediatrics and sports medicine. Dr. Miller enjoys helping young athletes manage non-operative musculoskeletal injuries. His specific clinical interests include adolescent back pain, throwing-related injuries and concussions. Before joining Children’s, Dr. Miller practiced pediatric sports medicine in Virginia Beach, Va. He has more than 15 years of experience serving as a high school team physician covering football, wrestling and the Beach District Gymnastics Tournament. He was also a team physician for Virginian Wesleyan University. In his spare time, Dr. Miller enjoys fishing, being outdoors and playing board games with his family.</t>
  </si>
  <si>
    <t xml:space="preserve">Katia Koelle   ·   PhD</t>
  </si>
  <si>
    <t xml:space="preserve">katia.koelle@emory.edu</t>
  </si>
  <si>
    <t xml:space="preserve">Titles (66)</t>
  </si>
  <si>
    <t xml:space="preserve">2026   Controlled human influenza infection reveals heterogeneous expulsion of infectious virus into air.</t>
  </si>
  <si>
    <t xml:space="preserve">2026   Common misspecification of the generation interval leads to reproduction number underestimation in phylodynamic inference.</t>
  </si>
  <si>
    <t xml:space="preserve">2026   Pathology and viral evolutionary dynamics in a hamster model of persistent SARS-CoV-2 infection.</t>
  </si>
  <si>
    <t xml:space="preserve">2026   Evaluation of serum antibodies as correlates of protection against norovirus infection and disease.</t>
  </si>
  <si>
    <t xml:space="preserve">2026   Quantifying the role of pre-existing tissue resident cellular immunity in limiting respiratory virus transmission.</t>
  </si>
  <si>
    <t xml:space="preserve">2026   Intra-host GI.1 norovirus evolution is shaped by genetic drift and purifying selection.</t>
  </si>
  <si>
    <t xml:space="preserve">2026   Genetic drift acts strongly on influenza virus populations within acute human infections but is obscured by other factors within acutely infected swine.</t>
  </si>
  <si>
    <t xml:space="preserve">2026   Subtype dynamics reveal horizon-dependent structure in influenza predictability</t>
  </si>
  <si>
    <t xml:space="preserve">2026   Environmental stochasticity can account for patterns of within-host respiratory virus evolution</t>
  </si>
  <si>
    <t xml:space="preserve">2026   A bootstrap particle filter for viral R t inference and forecasting using wastewater data</t>
  </si>
  <si>
    <t xml:space="preserve">2025   Projecting the population-level impact of norovirus vaccines.</t>
  </si>
  <si>
    <t xml:space="preserve">2025   ScITree: Scalable Bayesian inference of transmission tree from epidemiological and genomic data.</t>
  </si>
  <si>
    <t xml:space="preserve">2025   Dispersal of influenza virus populations within the respiratory tract shapes their evolutionary potential.</t>
  </si>
  <si>
    <t xml:space="preserve">2025   Phylodynamics beyond neutrality: the impact of incomplete purifying selection on viral phylogenies and inference.</t>
  </si>
  <si>
    <t xml:space="preserve">2025   Quantifying the waning of humoral immunity.</t>
  </si>
  <si>
    <t xml:space="preserve">2025   Quantifying viral pandemic potential from experimental transmission studies.</t>
  </si>
  <si>
    <t xml:space="preserve">2025   Genetic drift acts strongly on within-host influenza virus populations during acute infection but does not act alone.</t>
  </si>
  <si>
    <t xml:space="preserve">2025   Waning immunity drives respiratory virus evolution and reinfection.</t>
  </si>
  <si>
    <t xml:space="preserve">2025   Immune pressure is key to understanding observed patterns of respiratory virus evolution in prolonged infections.</t>
  </si>
  <si>
    <t xml:space="preserve">2024   Within-host evolutionary dynamics and tissue compartmentalization during acute SARS-CoV-2 infection.</t>
  </si>
  <si>
    <t xml:space="preserve">2024   Prevention of respiratory virus transmission by resident memory CD8+ T cells.</t>
  </si>
  <si>
    <t xml:space="preserve">2024   Genetic drift and purifying selection shape within-host influenza A virus populations during natural swine infections.</t>
  </si>
  <si>
    <t xml:space="preserve">2024   Influenza A genomic diversity during human infections underscores the strength of genetic drift and the existence of tight transmission bottlenecks.</t>
  </si>
  <si>
    <t xml:space="preserve">2024   Transmission Bottleneck Size Estimation from De Novo Viral Genetic Variation.</t>
  </si>
  <si>
    <t xml:space="preserve">2023   Semi-infectious particles contribute substantially to influenza virus within-host dynamics when infection is dominated by spatial structure.</t>
  </si>
  <si>
    <t xml:space="preserve">2023   Epidemiological inference for emerging viruses using segregating sites.</t>
  </si>
  <si>
    <t xml:space="preserve">2023   Avian H7N9 influenza viruses are evolutionarily constrained by stochastic processes during replication and transmission in mammals.</t>
  </si>
  <si>
    <t xml:space="preserve">2022   Unrecognized introductions of SARS-CoV-2 into the US state of Georgia shaped the early epidemic.</t>
  </si>
  <si>
    <t xml:space="preserve">2022   The changing epidemiology of SARS-CoV-2.</t>
  </si>
  <si>
    <t xml:space="preserve">2022   SARS-CoV-2 Evolution and Immune Escape in Immunocompromised Patients.</t>
  </si>
  <si>
    <t xml:space="preserve">2022   SARS-CoV-2 evolution and immune escape in immunocompromised patients treated with exogenous antibodies</t>
  </si>
  <si>
    <t xml:space="preserve">2022   Masks Do No More Than Prevent Transmission: Theory and Data Undermine the Variolation Hypothesis</t>
  </si>
  <si>
    <t xml:space="preserve">2022   Mammalian Orthoreovirus Reassortment Proceeds with Little Constraint on Segment Mixing.</t>
  </si>
  <si>
    <t xml:space="preserve">2022   Influenza A virus undergoes compartmentalized replication in vivo dominated by stochastic bottlenecks.</t>
  </si>
  <si>
    <t xml:space="preserve">2022   Influenza A virus reassortment in mammals gives rise to genetically distinct within-host subpopulations.</t>
  </si>
  <si>
    <t xml:space="preserve">2022   Heterogeneity in viral populations increases the rate of deleterious mutation accumulation.</t>
  </si>
  <si>
    <t xml:space="preserve">2021   Unrecognized introductions of SARS-CoV-2 into the state of Georgia shaped the early epidemic</t>
  </si>
  <si>
    <t xml:space="preserve">2021   Transmission of SARS-CoV-2 in domestic cats imposes a narrow bottleneck.</t>
  </si>
  <si>
    <t xml:space="preserve">2021   The Effect of Severe Acute Respiratory Syndrome Coronavirus 2 (SARS-CoV-2) Mitigation Strategies on Seasonal Respiratory Viruses: A Tale of 2 Large Metropolitan Centers in the United States.</t>
  </si>
  <si>
    <t xml:space="preserve">2021   SARS-CoV-2 evolution within and between individuals</t>
  </si>
  <si>
    <t xml:space="preserve">2021   Recombinant SARS-CoV-2 genomes circulated at low levels over the first year of the pandemic.</t>
  </si>
  <si>
    <t xml:space="preserve">2021   Reanalysis of deep-sequencing data from Austria points towards a small SARS-COV-2 transmission bottleneck on the order of one to three virions</t>
  </si>
  <si>
    <t xml:space="preserve">2021   Lineage-specific protection and immune imprinting shape the age distributions of influenza B cases.</t>
  </si>
  <si>
    <t xml:space="preserve">2021   Insights from SARS-CoV-2 sequences.</t>
  </si>
  <si>
    <t xml:space="preserve">2021   Indirect benefits are a crucial consideration when evaluating SARS-CoV-2 vaccine candidates.</t>
  </si>
  <si>
    <t xml:space="preserve">2021   Fitness Estimation for Viral Variants in the Context of Cellular Coinfection.</t>
  </si>
  <si>
    <t xml:space="preserve">2021   Comment on "Genomic epidemiology of superspreading events in Austria reveals mutational dynamics and transmission properties of SARS-CoV-2".</t>
  </si>
  <si>
    <t xml:space="preserve">2021   Avian Influenza A Viruses Reassort and Diversify Differently in Mallards and Mammals.</t>
  </si>
  <si>
    <t xml:space="preserve">2021   Acute SARS-CoV-2 infections harbor limited within-host diversity and transmit via tight transmission bottlenecks.</t>
  </si>
  <si>
    <t xml:space="preserve">2020   Revealing fine-scale spatiotemporal differences in SARS-CoV-2 introduction and spread.</t>
  </si>
  <si>
    <t xml:space="preserve">2020   Recombinant SARS-CoV-2 genomes are currently circulating at low levels</t>
  </si>
  <si>
    <t xml:space="preserve">2020   Intrahost cytomegalovirus population genetics following antibody pretreatment in a monkey model of congenital transmission.</t>
  </si>
  <si>
    <t xml:space="preserve">2020   Impact of SARS-CoV-2 on Seasonal Respiratory Viruses: A Tale of Two Large Metropolitan Centers in the United States</t>
  </si>
  <si>
    <t xml:space="preserve">2020   Full genome viral sequences inform patterns of SARS-CoV-2 spread into and within Israel.</t>
  </si>
  <si>
    <t xml:space="preserve">2020   Distinct patterns of SARS-CoV-2 transmission in two nearby communities in Wisconsin, USA</t>
  </si>
  <si>
    <t xml:space="preserve">2020   CpG-creating mutations are costly in many human viruses.</t>
  </si>
  <si>
    <t xml:space="preserve">2020   Considering indirect benefits is critical when evaluating SARS-CoV-2 vaccine candidates</t>
  </si>
  <si>
    <t xml:space="preserve">2020   Cellular co-infection can modulate the efficiency of influenza A virus production and shape the interferon response.</t>
  </si>
  <si>
    <t xml:space="preserve">2020   Asymptomatic Infection and Transmission of Pertussis in Households: A Systematic Review.</t>
  </si>
  <si>
    <t xml:space="preserve">2020   484. The Impact of SARS-CoV-2 on Reproduction Rates of Seasonal Influenza and RSV</t>
  </si>
  <si>
    <t xml:space="preserve">… and 6 older titles, not shown</t>
  </si>
  <si>
    <t xml:space="preserve">Joanne Allam   ·   MD; BS</t>
  </si>
  <si>
    <t xml:space="preserve">jallam@emory.edu</t>
  </si>
  <si>
    <t xml:space="preserve">https://med.emory.edu/directory/profile/?u=JALLAM</t>
  </si>
  <si>
    <t xml:space="preserve">Dr. Allam is an Associate Professor of Medicine in the Division of Pulmonary, Allergy, Critical Care and Sleep Medicine. She completed her undergraduate and medical school education at the American University of Beirut (2001). She trained in Internal Medicine at Emory University from 2002-2005. She completed her fellowship training in Pulmonary and Critical Care Medicine at the Mayo Clinic (Rochester MN), followed by a fellowship in Sleep Medicine at Stanford University. During her fellowship training, she developed her clinical interests in interstitial lung diseases and advanced modes of non-invasive ventilation for treatment of sleep related breathing disorders. She was recruited to join the Emory faculty in 2009 and is based at the Atlanta VA Medical Center. She has held multiple leadership positions including medical director of the bronchoscopy services at the VA, medical director of the CPAP clinic and of the Home Sleep Testing Program. In addition, she is actively involved in the leadership of the Pulmonary and Critical Care fellowship program, having served as Associate Program Director since 2012. Dr. Allam also served on several committees in national/international professional organizations, has been a regular invited speaker at the American College of Chest Physicians (ACCP/CHEST) annual meetings and has developed online learning tools in interstitial lung diseases in collaboration with CHEST. Dr. Allam currently practices pulmonary, critical care and sleep medicine at the Atlanta VA Medical Center where she also supervises medical students, residents and fellows. Her expertise and clinical interest are in Sleep Medicine and Interstitial Lung Diseases. When she is not working, Dr. Allam enjoys spending time with her husband and 2 boys, hiking, paddle boarding and biking. She also enjoys cooking, particularly Lebanese food.</t>
  </si>
  <si>
    <t xml:space="preserve">2025   A Data-driven Approach to Selecting Pulmonary and Critical Care Fellows for Interviews.</t>
  </si>
  <si>
    <t xml:space="preserve">2025   Treatment of central sleep apnea in adults: an American Academy of Sleep Medicine systematic review, meta-analysis, and GRADE assessment.</t>
  </si>
  <si>
    <t xml:space="preserve">2025   Treatment of central sleep apnea in adults: an American Academy of Sleep Medicine clinical practice guideline.</t>
  </si>
  <si>
    <t xml:space="preserve">2024   Variable Practice, Variable Results: Impact of Postinterview Communication Practices Among Critical Care Medicine/Pulmonary and Critical Care Medicine Fellowship Applicants and Program Directors.</t>
  </si>
  <si>
    <t xml:space="preserve">2022   The Virtual Interview Experience: Perspectives of Pulmonary and Critical Care Fellowship Applicants.</t>
  </si>
  <si>
    <t xml:space="preserve">2021   Rebuttal From Dr Allam.</t>
  </si>
  <si>
    <t xml:space="preserve">2021   COUNTERPOINT: Should Fellowship Interviews Remain Exclusively Virtual? No.</t>
  </si>
  <si>
    <t xml:space="preserve">2021   Pulse Arterial Tonometry Evaluation of Reliability study.</t>
  </si>
  <si>
    <t xml:space="preserve">2020   Performance of peripheral arterial tonometry-based testing for the diagnosis of obstructive sleep apnea in a large sleep clinic cohort.</t>
  </si>
  <si>
    <t xml:space="preserve">2020   Improving the performance of peripheral arterial tonometry-based testing for the diagnosis of obstructive sleep apnea.</t>
  </si>
  <si>
    <t xml:space="preserve">2015   Pharmacological therapies in smoking cessation: an evidence-based update</t>
  </si>
  <si>
    <t xml:space="preserve">Sumathi Srivatsa   ·   MD; MBBS</t>
  </si>
  <si>
    <t xml:space="preserve">ssrivat@emory.edu</t>
  </si>
  <si>
    <t xml:space="preserve">https://www.emoryhealthcare.org/providers/sumathi-srivatsa-780466</t>
  </si>
  <si>
    <t xml:space="preserve">Sumathi Srivatsa, MD, is board certified in endocrinology and focuses on the treatment of thyroid disorders. Dr. Srivatsa has vast experience in the management of thyroid cancer and collaborates with Winship's thyroid oncology team. She started practicing with Emory Healthcare in 2000.</t>
  </si>
  <si>
    <t xml:space="preserve">2022   A Multicenter Randomized Phase II Study of Single Agent Efficacy and Optimal Combination Sequence of Everolimus and Pasireotide LAR in Advanced Thyroid Cancer.</t>
  </si>
  <si>
    <t xml:space="preserve">2008   Intravascular lymphoma: an unusual diagnostic outcome of an incidentally detected adrenal mass.</t>
  </si>
  <si>
    <t xml:space="preserve">2008   Visual vignette.</t>
  </si>
  <si>
    <t xml:space="preserve">2005   Aberrant Thyroid Testing Results in a Clinically Euthyroid Patient Who Had Received a Tumor Vaccine</t>
  </si>
  <si>
    <t xml:space="preserve">Edmund Becker   ·   MD; MPH</t>
  </si>
  <si>
    <t xml:space="preserve">edmund.becker@emory.edu</t>
  </si>
  <si>
    <t xml:space="preserve">https://sph.emory.edu/profile/faculty/edmund-becker</t>
  </si>
  <si>
    <t xml:space="preserve">Dr. Becker research focuses on measuring and evaluating healthcare costs, outcomes, and prevention. Current projects include benchmarking and profiling hospital and physician cardiovascular performance; evaluating the impact of worksite and managed care health promotion activities on employee health behaviors; and assessing the prescription patterns of Florida Medicaid providers. He is currently a member of the Accountability Review Council (ARC) for the School District of Philadelphia assisting in evaluating the impacts of the ‘No Child Left Behind’ educational legislation on the performance of the district’s schools and students. Prior to coming to Emory University in 1993, he was Senior Research Associate at Harvard School of Public Health and Project Director on the Resource-Based Relative Value Scale (RBRVS) project - a seven-year national study revising Medicare’s physician payment system. Following the implementation of the RBRVS by Medicare in 1992, he has been an advisor to major healthcare payers, academic medical centers, and physician organizations on strategies for evaluating, modifying, and implementing resource-based physician payment strategies. Before joining the Harvard faculty in 1986, Dr. Becker spent two years as an Assistant Professor in the Graduate School of Business and Administration at the University of Colorado at Denver. While on the faculty, he taught health administration courses in organization theory and management. His academic background follows two years work as a Research Associate in the Center for Health Policy Research at the American Medical Association in Chicago. At the AMA, Dr. Becker's focused on hospital-physician relations and the role of profit in medicine. Prior to the AMA, he was on the faculty at Vanderbilt University where he was a Research Associate in the Health Policy Center at Vanderbilt's Institute for Public Policy Studies. Dr. Becker's undergraduate training is in mathematics and sociology from Westminster College. He received his Masters in Sociology from Ohio University in 1973 and his Doctorate in Medical Sociology from Vanderbilt University in 1981. In 2005, he received the Distinguished Alumni Award from Ohio University and in 2009, the Alumni Citation Award from Westminster College. Dr. Becker has published over 150 articles on topics ranging from cost shifting and unionization in hospitals to the advantages of off-pump versus on-pump coronary artery bypass surgery.</t>
  </si>
  <si>
    <t xml:space="preserve">2016   Impact of hospital diagnosis-specific quality measures on patients’ experience of hospital care: Evidence from 14 states, 2009-2011</t>
  </si>
  <si>
    <t xml:space="preserve">1995   A Comparison of the Costs of and Quality of Life After Coronary Angioplasty or Coronary Surgery for Multivessel Coronary Artery Disease</t>
  </si>
  <si>
    <t xml:space="preserve">Laila Woc-Colburn   ·   MD; BS</t>
  </si>
  <si>
    <t xml:space="preserve">lwoccol@emory.edu</t>
  </si>
  <si>
    <t xml:space="preserve">https://www.emoryhealthcare.org/providers/laila-eugenia-woc-colburn-1568766</t>
  </si>
  <si>
    <t xml:space="preserve">Dr, Woc-Colburn is an attending physician on the Infectious Diseases consultation service at Emory University Hospital and Emory University Midtown Hospital. She provides outpatient service at the Emory Healthcare Infectious Diseases clinic. Emory Clinic - School of Medicine Faculty Emory University Hospital Midtown Campus</t>
  </si>
  <si>
    <t xml:space="preserve">2026   Immunocompromised host pneumonia: a shifting landscape of risk.</t>
  </si>
  <si>
    <t xml:space="preserve">2024   Concerns on H5N1 avian influenza given the outbreak in U.S. dairy cattle.</t>
  </si>
  <si>
    <t xml:space="preserve">2023   Clinical Characteristics and Outcomes of Chagas Disease in the United States: A Multicenter Retrospective Analysis.</t>
  </si>
  <si>
    <t xml:space="preserve">2023   A Horse of a Different Color: A Case Report of Streptococcus Equi Meningitis in a Kidney Transplant Recipient.</t>
  </si>
  <si>
    <t xml:space="preserve">2023   The effect of a plasma next-generation sequencing test on antimicrobial management in immunocompetent and immunocompromised patients-A single-center retrospective study.</t>
  </si>
  <si>
    <t xml:space="preserve">2022   Perspectives of patients, family members, health professionals and the public on the impact of COVID-19 on mental health.</t>
  </si>
  <si>
    <t xml:space="preserve">2022   Reviewing a Decade of Outpatient Tropical Medicine in Houston, Texas.</t>
  </si>
  <si>
    <t xml:space="preserve">2021   Preparing for SARS-CoV-2 Vaccines in US Immigrant Communities: Strategies for Allocation, Distribution, and Communication.</t>
  </si>
  <si>
    <t xml:space="preserve">2021   Leishmaniasis</t>
  </si>
  <si>
    <t xml:space="preserve">2021   Lockdown as a public health measure</t>
  </si>
  <si>
    <t xml:space="preserve">2020   Risk of Chronic Cardiomyopathy Among Patients With the Acute Phase or Indeterminate Form of Chagas Disease: A Systematic Review and Meta-analysis.</t>
  </si>
  <si>
    <t xml:space="preserve">2020   680. The Use of Plasma Next-Generation Sequencing Test in the Management of Immunocompetent and Immunocompromised Patients – A Single Center Retrospective Study</t>
  </si>
  <si>
    <t xml:space="preserve">2020   135. Impact of #idjclub, a Synchronous Twitter Journal Club, as a Novel Infectious Disease Education Platform</t>
  </si>
  <si>
    <t xml:space="preserve">2020   1155. Clinical and Epidemiological Characteristics of Patients with Paracoccidioidomycosis in Asuncion Paraguay</t>
  </si>
  <si>
    <t xml:space="preserve">2020   1112. #EducationInTheTimeofCOVID: Using Twitter to Disseminate Evidence-Based Medicine during a Pandemic</t>
  </si>
  <si>
    <t xml:space="preserve">2015   Evidence of autochthonous Chagas disease in southeastern Texas.</t>
  </si>
  <si>
    <t xml:space="preserve">Ghulam Ilyas   ·   MD</t>
  </si>
  <si>
    <t xml:space="preserve">gilyas@emory.edu</t>
  </si>
  <si>
    <t xml:space="preserve">https://www.emoryhealthcare.org/providers/ghulam-ilyas-1878262</t>
  </si>
  <si>
    <t xml:space="preserve">2025   Comprehensive Clinicopathologic, Morphologic, and Molecular Evaluation and Outcomes in Polymorphous Adenocarcinoma Tumors With Applicability of a 2-Tiered Grading System.</t>
  </si>
  <si>
    <t xml:space="preserve">2024   Comprehensive evaluation of cytomorphologic, histologic, and molecular features of DICER1-altered thyroid lesions on FNA: A multipractice experience.</t>
  </si>
  <si>
    <t xml:space="preserve">2019   Decreased Macrophage Autophagy Promotes Liver Injury and Inflammation from Alcohol.</t>
  </si>
  <si>
    <t xml:space="preserve">2017   Pentamidine blocks hepatotoxic injury in mice.</t>
  </si>
  <si>
    <t xml:space="preserve">2016   Autophagy confers resistance to lipopolysaccharide-induced mouse hepatocyte injury.</t>
  </si>
  <si>
    <t xml:space="preserve">2016   Macrophage autophagy limits acute toxic liver injury in mice through down regulation of interleukin-1β.</t>
  </si>
  <si>
    <t xml:space="preserve">Amir Rezvan   ·   MD; MS</t>
  </si>
  <si>
    <t xml:space="preserve">arezva2@emory.edu</t>
  </si>
  <si>
    <t xml:space="preserve">https://med.emory.edu/directory/profile/?u=AREZVA2</t>
  </si>
  <si>
    <t xml:space="preserve">Amir Rezvan, MD, MS is an assistant professor of medicine in the Division of Cardiology at Emory University. He is the PI for a basic science research program in cardiology and serves as a general cardiologist at Grady Memorial Hospital. Dr. Rezvan is a 2012 graduate of the cardiology program at Emory University School of Medicine. Prior to that, he completed his internal medicine residency at Drexel University in Philadelphia, Pennsylvania, where he also earned a Master of Science degree in Biomedical Sciences. Dr. Rezvan received his medical degree from the Iran University of Medical Sciences in Tehran, Iran.</t>
  </si>
  <si>
    <t xml:space="preserve">2024   The mitochondrial protease ClpP is a druggable target that controls VSMC phenotype by a SIRT1-dependent mechanism.</t>
  </si>
  <si>
    <t xml:space="preserve">2024   The Role of Fatty Acid Synthase in the Vascular Smooth Muscle Cell to Foam Cell Transition.</t>
  </si>
  <si>
    <t xml:space="preserve">2023   PHACTR1 and Atherosclerosis: It's Complicated.</t>
  </si>
  <si>
    <t xml:space="preserve">2023   Abstract P3029: The Role Of Fatty Acid Synthase In The Modulation Of Vascular Smooth Muscle Cells Into A Foam Cell Phenotype</t>
  </si>
  <si>
    <t xml:space="preserve">2022   Abstract 14971: Loss of ZBTB46 Decreases BCL2A Expression and Increases Endothelial Cell Apoptosis</t>
  </si>
  <si>
    <t xml:space="preserve">2019   ZBTB46 is a shear-sensitive transcription factor inhibiting endothelial cell proliferation via gene expression regulation of cell cycle proteins.</t>
  </si>
  <si>
    <t xml:space="preserve">2017   Telomeres, oxidative stress, and myocardial infarction.</t>
  </si>
  <si>
    <t xml:space="preserve">2017   Accelerated atherosclerosis development in C57Bl6 mice by overexpressing AAV-mediated PCSK9 and partial carotid ligation.</t>
  </si>
  <si>
    <t xml:space="preserve">2015   Novel Animal Models of Atherosclerosis</t>
  </si>
  <si>
    <t xml:space="preserve">2014   Abstract 151: ZBTB46 is a Shear Stress Sensitive Transcription Factor in Endothelial Cells</t>
  </si>
  <si>
    <t xml:space="preserve">2013   The role of the vascular dendritic cell network in atherosclerosis.</t>
  </si>
  <si>
    <t xml:space="preserve">2012   Dynamic immune cell accumulation during flow-induced atherogenesis in mouse carotid artery: an expanded flow cytometry method.</t>
  </si>
  <si>
    <t xml:space="preserve">2011   Animal, in vitro, and ex vivo models of flow-dependent atherosclerosis: role of oxidative stress.</t>
  </si>
  <si>
    <t xml:space="preserve">2011   Tetrahydrobiopterin deficiency and nitric oxide synthase uncoupling contribute to atherosclerosis induced by disturbed flow.</t>
  </si>
  <si>
    <t xml:space="preserve">2010   Discovery of novel mechanosensitive genes in vivo using mouse carotid artery endothelium exposed to disturbed flow.</t>
  </si>
  <si>
    <t xml:space="preserve">2010   A model of disturbed flow-induced atherosclerosis in mouse carotid artery by partial ligation and a simple method of RNA isolation from carotid endothelium.</t>
  </si>
  <si>
    <t xml:space="preserve">2010   GTP cyclohydrolase I phosphorylation and interaction with GTP cyclohydrolase feedback regulatory protein provide novel regulation of endothelial tetrahydrobiopterin and nitric oxide.</t>
  </si>
  <si>
    <t xml:space="preserve">2010   Oral Tetrahydrobiopterin Treatment Prevents Accelerated Atherosclerosis Caused by Oscillatory Shear Stress</t>
  </si>
  <si>
    <t xml:space="preserve">2009   Partial carotid ligation is a model of acutely induced disturbed flow, leading to rapid endothelial dysfunction and atherosclerosis.</t>
  </si>
  <si>
    <t xml:space="preserve">ljgardn@emory.edu</t>
  </si>
  <si>
    <t xml:space="preserve">2020   A retrospective multicenter study of fatal pediatric melanoma.</t>
  </si>
  <si>
    <t xml:space="preserve">Gregory Noland   ·   MPH; PhD</t>
  </si>
  <si>
    <t xml:space="preserve">gregory.noland@emory.edu</t>
  </si>
  <si>
    <t xml:space="preserve">https://sph.emory.edu/profile/faculty/gregory-noland</t>
  </si>
  <si>
    <t xml:space="preserve">In 2020, Gregory Noland was named director of the Carter Center’s River Blindness Elimination Program, Lymphatic Filariasis Elimination Program, and Schistosomiasis Control Program, as well as the Center's Hispaniola Initiative, which supports binational coordination between the Dominican Republic and Haiti to eliminate malaria and lymphatic filariasis on the island of Hispaniola. Noland joined The Carter Center in June 2011 as a program epidemiologist with more than a decade of basic and applied research experience in parasitic diseases. Prior to joining the Center, he was a project manager and postdoctoral fellow for a University of Minnesota malaria research program in Kisumu, Kenya, in partnership with the Kenya Medical Research Institute. While in Kisumu, Noland managed operations of a more than 40-person staff on a multimillion-dollar research program to examine the epidemiology of malaria transmission and immunity in western Kenya. From 1998 to 2001, he was a guest researcher at the U.S. Centers for Disease Control and Prevention's Division of Parasitic Diseases. Noland received a doctorate in molecular microbiology and immunology in 2007 from Johns Hopkins University's Bloomberg School of Public Health, where he examined the impact of intestinal helminth infection on malaria disease progression, transmission, and vaccine response. He also holds a master of public health degree in global epidemiology from the Rollins School of Public Health at Emory University and a bachelor of science degree in biology from Davidson College.</t>
  </si>
  <si>
    <t xml:space="preserve">2026   The importance of values in a community-based response to malaria in Santo Domingo, Dominican Republic: results from a longitudinal, mixed-methods study.</t>
  </si>
  <si>
    <t xml:space="preserve">Brendan Jackson   ·   MD</t>
  </si>
  <si>
    <t xml:space="preserve">bjacks6@emory.edu</t>
  </si>
  <si>
    <t xml:space="preserve">2025   Estimated Burden of Coccidioidomycosis.</t>
  </si>
  <si>
    <t xml:space="preserve">2025   Using Machine Learning Algorithms to Identify Key Predictors of Invasive Mold Infection Surveillance.</t>
  </si>
  <si>
    <t xml:space="preserve">2024   Clinical Testing Guidance for Coccidioidomycosis, Histoplasmosis, and Blastomycosis in Patients With Community-Acquired Pneumonia for Primary and Urgent Care Providers.</t>
  </si>
  <si>
    <t xml:space="preserve">2024   Inferring the proportion of undetected cholera infections from serological and clinical surveillance in an immunologically naive population.</t>
  </si>
  <si>
    <t xml:space="preserve">2023   Diagnosis Codes for Mold Infections and Mold Exposure Before and After Hurricane Harvey Among a Commercially Insured Population-Houston, Texas, 2016-2018.</t>
  </si>
  <si>
    <t xml:space="preserve">2023   Opportunities to improve guideline adherence for the diagnosis and treatment of onychomycosis: Analysis of commercial insurance claims data, United States.</t>
  </si>
  <si>
    <t xml:space="preserve">2023   Invasive Mold Infections Following Hurricane Harvey-Houston, Texas.</t>
  </si>
  <si>
    <t xml:space="preserve">2023   Hospitalizations for Unspecified Mycoses in a Large Administrative Data Set and Implications for Fungal Disease Burden Estimates, United States, 2019-2021.</t>
  </si>
  <si>
    <t xml:space="preserve">2023   Listeria monocytogenes Illness and Deaths Associated With Ongoing Contamination of a Multiregional Brand of Ice Cream Products, United States, 2010-2015.</t>
  </si>
  <si>
    <t xml:space="preserve">2023   Increased Deaths From Fungal Infections During the Coronavirus Disease 2019 Pandemic-National Vital Statistics System, United States, January 2020-December 2021.</t>
  </si>
  <si>
    <t xml:space="preserve">2023   Public Health Research Priorities for Fungal Diseases: A Multidisciplinary Approach to Save Lives.</t>
  </si>
  <si>
    <t xml:space="preserve">2023   Fungal Pathogens as Causes of Acute Respiratory Illness in Hospitalized Veterans: Frequency of Fungal Positive Test Results Using Rapid Immunodiagnostic Assays.</t>
  </si>
  <si>
    <t xml:space="preserve">2023   Worsening Spread of Candida auris in the United States, 2019 to 2021.</t>
  </si>
  <si>
    <t xml:space="preserve">2022   Recurrent Candidemia: Trends and Risk Factors Among Persons Residing in 4 US States, 2011-2018.</t>
  </si>
  <si>
    <t xml:space="preserve">2022   Investigation of a Prolonged and Large Outbreak of Healthcare-Associated Mucormycosis Cases in an Acute Care Hospital-Arkansas, June 2019-May 2021.</t>
  </si>
  <si>
    <t xml:space="preserve">2022   Surveillance practices and air-sampling strategies to address healthcare-associated invasive mold infections in Society for Healthcare Epidemiology of America (SHEA) Research Network hospitals-United States, 2020.</t>
  </si>
  <si>
    <t xml:space="preserve">2022   Outpatient Antifungal Prescribing Patterns in the United States, 2018.</t>
  </si>
  <si>
    <t xml:space="preserve">2022   Survey of healthcare providers' testing practices for vulvovaginal candidiasis and treatment outcomes-United States, 2021.</t>
  </si>
  <si>
    <t xml:space="preserve">Prashant Raghavendran   ·   DO</t>
  </si>
  <si>
    <t xml:space="preserve">pragha3@emory.edu</t>
  </si>
  <si>
    <t xml:space="preserve">https://www.choa.org/doctors/prashant-raghavendran</t>
  </si>
  <si>
    <t xml:space="preserve">Medical School:University of North TexasResidency:Medical University of South CarolinaFellowship:Vanderbilt University Medical Center Prashant Raghavendran, DO, is a Pediatric Hematologist/Oncologist at the Aflac Cancer and Blood Disorders Center of Children’s Healthcare of Atlanta and serves as Assistant Professor of Pediatrics at Emory University School of Medicine. Dr. Raghavendran joined Children’s and Emory in 2023 after completing his fellowship training at Vanderbilt University. Prior to his fellowship, he completed his residency training at the Medical University of South Carolina and earned his medical degree at Texas Christian University/University of North Texas Health Science Center (TCU/UNTHSC).</t>
  </si>
  <si>
    <t xml:space="preserve">2026   Refractory Hypoxemia in the Context of Massive Epistaxis</t>
  </si>
  <si>
    <t xml:space="preserve">2025   Pediatric Venous Thromboembolism: Considerations for the Interventional Radiologist</t>
  </si>
  <si>
    <t xml:space="preserve">Fahim Atif   ·   PhD; MS; BS</t>
  </si>
  <si>
    <t xml:space="preserve">fatif@emory.edu</t>
  </si>
  <si>
    <t xml:space="preserve">https://med.emory.edu/directory/profile/?u=FATIF</t>
  </si>
  <si>
    <t xml:space="preserve">Dr. Fahim Atif is an Assistant Professor in the Emory University Hospital's Emergency Medicine Department. He received his PhD from Hamdard University in New Delhi, India.</t>
  </si>
  <si>
    <t xml:space="preserve">Titles (39)</t>
  </si>
  <si>
    <t xml:space="preserve">2026   Environmental Substances Associated with Neurodegeneration: An Overview of Parkinson's Disease and Related Genotoxic Endpoints.</t>
  </si>
  <si>
    <t xml:space="preserve">2025   CTNI-05. USE OF SUBCUTANEOUS PROGESTERONE AS TREATMENT FOR RECURRENT GLIOBLASTOMA</t>
  </si>
  <si>
    <t xml:space="preserve">2022   Traumatic Brain Injury as a Potential Risk Factor for Diabetes Mellitus in the Veteran Population.</t>
  </si>
  <si>
    <t xml:space="preserve">2021   Stroke-Induced Peripheral Immune Dysfunction in Vitamin D-Deficient Conditions: Modulation by Progesterone and Vitamin D.</t>
  </si>
  <si>
    <t xml:space="preserve">2021   Progesterone Modulates Mitochondrial Functions in Human Glioblastoma Cells.</t>
  </si>
  <si>
    <t xml:space="preserve">2020   Progesterone Attenuates Stress-Induced NLRP3 Inflammasome Activation and Enhances Autophagy following Ischemic Brain Injury.</t>
  </si>
  <si>
    <t xml:space="preserve">2020   Post-ischemic stroke systemic inflammation: Immunomodulation by progesterone and vitamin D hormone.</t>
  </si>
  <si>
    <t xml:space="preserve">2019   Progesterone Treatment Attenuates Glycolytic Metabolism and Induces Senescence in Glioblastoma.</t>
  </si>
  <si>
    <t xml:space="preserve">2019   Abstract WP8: Stroke Outcomes in Vitamin D-Deficient Conditions: Modulatory Role of Progesterone and Vitamin D</t>
  </si>
  <si>
    <t xml:space="preserve">2019   Abstract WP150: Autophagy Regulates NLRP3 Inflammasome in Cerebral Ischemia With Comorbid Stress: A Protective Mechanism of Progesterone</t>
  </si>
  <si>
    <t xml:space="preserve">2019   Abstract TMP32: Post-Stroke Systemic Inflammation: Immunomodulation by Progesterone and Vitamin D Hormone</t>
  </si>
  <si>
    <t xml:space="preserve">2018   Neurosteroid allopregnanolone reduces ipsilateral visual cortex potentiation following unilateral optic nerve injury.</t>
  </si>
  <si>
    <t xml:space="preserve">2018   Abstract WP101: Progesterone Counteracts Stress-Induced Microglial Priming by Reducing NLRP3 Inflammasome Activation After Ischemic Injury</t>
  </si>
  <si>
    <t xml:space="preserve">2017   Stress primes microglial polarization after global ischemia: Therapeutic potential of progesterone.</t>
  </si>
  <si>
    <t xml:space="preserve">2017   Progesterone improves neurocognitive outcomes following therapeutic cranial irradiation in mice.</t>
  </si>
  <si>
    <t xml:space="preserve">2017   Progesterone modulates diabetes/hyperglycemia-induced changes in the central nervous system and sciatic nerve.</t>
  </si>
  <si>
    <t xml:space="preserve">2017   Goldstein et al.'s Secondary Analysis of Progesterone Clinical Trial for Traumatic Brain Injury Can Only Reflect the Same Trial Design Flaws: A Response to "Very Early Administration of Progesterone Does Not Improve Neuropsychological Outcomes in Subjects with Moderate to Severe Traumatic Brain Injury".</t>
  </si>
  <si>
    <t xml:space="preserve">2017   On the Limitations of Progesterone Treatment in Very Severe Traumatic Brain Injury: What Can Be Learned from Allitt et al., "Progesterone Exacerbates Short-Term Effects of Traumatic Brain Injury".</t>
  </si>
  <si>
    <t xml:space="preserve">2016   Combination Therapies for Traumatic Brain Injury: Retrospective Considerations.</t>
  </si>
  <si>
    <t xml:space="preserve">2016   Progesterone in the treatment of neonatal arterial ischemic stroke and acute seizures: Role of BDNF/TrkB signaling.</t>
  </si>
  <si>
    <t xml:space="preserve">2016   Neuroprotection by progesterone after transient cerebral ischemia in stroke-prone spontaneously hypertensive rats.</t>
  </si>
  <si>
    <t xml:space="preserve">2015   Progesterone and vitamin D combination therapy modulates inflammatory response after traumatic brain injury.</t>
  </si>
  <si>
    <t xml:space="preserve">2015   Anti-tumor effects of progesterone in human glioblastoma multiforme: role of PI3K/Akt/mTOR signaling.</t>
  </si>
  <si>
    <t xml:space="preserve">2015   The Synergistic Effect of Combination Progesterone and Temozolomide on Human Glioblastoma Cells.</t>
  </si>
  <si>
    <t xml:space="preserve">2014   Progesterone in transient ischemic stroke: a dose-response study.</t>
  </si>
  <si>
    <t xml:space="preserve">2014   Delayed progesterone treatment reduces brain infarction and improves functional outcomes after ischemic stroke: a time-window study in middle-aged rats.</t>
  </si>
  <si>
    <t xml:space="preserve">2013   Progesterone's role in neuroprotection, a review of the evidence.</t>
  </si>
  <si>
    <t xml:space="preserve">2013   Progesterone and vitamin D: Improvement after traumatic brain injury in middle-aged rats.</t>
  </si>
  <si>
    <t xml:space="preserve">2013   Combination treatment with progesterone and vitamin D hormone is more effective than monotherapy in ischemic stroke: the role of BDNF/TrkB/Erk1/2 signaling in neuroprotection.</t>
  </si>
  <si>
    <t xml:space="preserve">2013   Abstract WP127: TAK-242, an Antagonist for Toll-like Receptor 4, Protects against Acute Cerebral Ischemia/Reperfusion Injury in Mice</t>
  </si>
  <si>
    <t xml:space="preserve">2013   Abstract WMP32: Immunomodulation and Neuroprotection by Progesterone in Infections following Ischemic Brain Injury in Middle-Aged Rats</t>
  </si>
  <si>
    <t xml:space="preserve">2013   Abstract TMP97: Progesterone Attenuates Acute Seizure and Brain Infarction by Modulating Pro-Inflammatory Cytokines in a Mouse Model of Neonatal Stroke</t>
  </si>
  <si>
    <t xml:space="preserve">2012   Water-soluble progesterone analogues are effective, injectable treatments in animal models of traumatic brain injury.</t>
  </si>
  <si>
    <t xml:space="preserve">2012   Glibenclamide Administration Attenuates Infarct Volume, Hemispheric Swelling, and Functional Impairments following Permanent Focal Cerebral Ischemia in Rats</t>
  </si>
  <si>
    <t xml:space="preserve">2011   Progesterone inhibits the growth of human neuroblastoma: in vitro and in vivo evidence.</t>
  </si>
  <si>
    <t xml:space="preserve">2011   Neuroprotective effects of Tacrolimus (FK-506) and Cyclosporin (CsA) in oxidative injury.</t>
  </si>
  <si>
    <t xml:space="preserve">2011   Neuroprotection Offered by Majun Khadar, a Traditional Unani Medicine, during Cerebral Ischemic Damage in Rats.</t>
  </si>
  <si>
    <t xml:space="preserve">2009   Progesterone with vitamin D affords better neuroprotection against excitotoxicity in cultured cortical neurons than progesterone alone.</t>
  </si>
  <si>
    <t xml:space="preserve">2009   Development and Screening of Water-Soluble Analogues of Progesterone and Allopregnanolone in Models of Brain Injury</t>
  </si>
  <si>
    <t xml:space="preserve">Carmen Marsit   ·   BS; Ph.D.</t>
  </si>
  <si>
    <t xml:space="preserve">carmen.j.marsit@emory.edu</t>
  </si>
  <si>
    <t xml:space="preserve">https://sph.emory.edu/profile/faculty/carmen-marsit</t>
  </si>
  <si>
    <t xml:space="preserve">Dr. Carmen Marsit is Rollins Distinguished Professor and Executive Associate Dean for Faculty Affairs and Research Strategy at the Rollins School of Public Health. Dr. Marsit's research is focused broadly on understanding the molecular mechanisms responsible for mediating the impact of the environment in human disease, utilizing laboratory studies of a variety of molecular alterations through –omics technologies. His research has been applied to studies of cancer, adverse pregnancy outcomes, and common and rare conditions of childhood, including obesity, growth, and behavioral disorders. He is a nationally and internationally recognized expert in children's environmental health and environmental impacts on the placenta. Dr. Marsit's group has significant expertise in environmental epigenomics, the impact of the environment on mechanisms controlling the fundamental cellular process of gene expression control, and how alterations or variations to these features impact health and disease. His research utilizes the exposome framework, and considers the chemical, physical, psychosocial, and structural factors across the lifetime, the body's response to those exposures, and their impacts on health. The overarching goal of this work is to both provide important biologic and mechanistic evidence to support policies related to the control of environmental contaminants and to provide insights into novel prevention and intervention strategies. Dr. Marsit received his PhD in the Biological Sciences in Public Health at Harvard University, which was followed by a postdoctoral fellowship at the Harvard School of Public Health. Prior to joining the faculty in the Gangarosa Department of Environmental Health at Emory in 2016, he held faculty appointments in Pathology and Laboratory Medicine at Brown University (2007-2011), and in Pharmacology and Toxicology and Epidemiology at the Geisel School of Medicine at Dartmouth (2011-2016). His research program has been supported by continuous NIH funding since 2008. He is Director of the NIEHS-supported Environmental Health Sciences Core Center at Emory, the HERCULES Exposome Research Center (P30). Dr. Marsit also has a strong commitment to the training of the next generation of public health researchers and to mentoring and sponsoring of early career faculty, demonstrated through his role as Director of the NIEHS-funded T32 Training Program in the Environmental Health Sciences and Toxicology at Emory and his leadership role at Rollins as executive associate dean for faculty affairs and research strategy. Bachelors of Science, Lafayette College</t>
  </si>
  <si>
    <t xml:space="preserve">HERCULES: Exposome Research Center
Characterizing the functional genomic atlas of human placenta and unveiling the prenatal programming of early-
Enriching the Rhode Island Child Health Study
Graduate and Postdoctoral Training in Environmental Health Science and Toxicology
Development Core</t>
  </si>
  <si>
    <t xml:space="preserve">Titles (346)</t>
  </si>
  <si>
    <t xml:space="preserve">2026   Associations between prenatal exposure to ambient air pollutants and preterm birth in the Atlanta African American maternal-child cohort</t>
  </si>
  <si>
    <t xml:space="preserve">2026   Protecting the developing brains of children from Plastics-Derived chemicals and microplastic particles</t>
  </si>
  <si>
    <t xml:space="preserve">2025   Attention problems in children born very preterm: evidence from a performance-based measure</t>
  </si>
  <si>
    <t xml:space="preserve">2025   Reflections on the NIEHS Virtual Consortium funding mechanism (ViCTER) and what it has taught us about the future of transdisciplinary science</t>
  </si>
  <si>
    <t xml:space="preserve">2025   Sex-differentiated placental methylation and gene expression regulation has implications for neonatal traits and adult diseases</t>
  </si>
  <si>
    <t xml:space="preserve">2025   Oculomics meets exposomics: a roadmap for applying multi-modal ocular biomarkers in precision environmental health research</t>
  </si>
  <si>
    <t xml:space="preserve">2025   Impact of placental and peripheral blood DNA methylation on celiac disease susceptibility</t>
  </si>
  <si>
    <t xml:space="preserve">2025   Critical windows of prenatal heat exposure and preterm birth: metabolomics study in the Atlanta African American Maternal Child Cohort</t>
  </si>
  <si>
    <t xml:space="preserve">2025   Associations of placental lncRNA expression with maternal pre-pregnancy BMI and infant birthweight in two birth cohorts</t>
  </si>
  <si>
    <t xml:space="preserve">2025   Potentially causal associations between placental DNA methylation and schizophrenia and other neuropsychiatric disorders.</t>
  </si>
  <si>
    <t xml:space="preserve">2025   Unraveling the Molecular Links between Fine Particulate Matter Exposure and Early Birth Risks in African American Mothers: A Metabolomics Study in the Atlanta African American Maternal-Child Cohort.</t>
  </si>
  <si>
    <t xml:space="preserve">2024   Toward a more holistic approach to the study of exposures and child outcomes</t>
  </si>
  <si>
    <t xml:space="preserve">2024   Epigenetic landscape of 5-hydroxymethylcytosine and associations with gene expression in placenta</t>
  </si>
  <si>
    <t xml:space="preserve">2024   Differential impact of prenatal PTSD symptoms and preconception trauma exposure on placental NR3C1 and FKBP5 methylation</t>
  </si>
  <si>
    <t xml:space="preserve">2024   Childhood adversity, accelerated GrimAge, and associated health consequences.</t>
  </si>
  <si>
    <t xml:space="preserve">2024   The Effects of Wildfires on the Mental and Physical Health of School-Age Children in North America: A Scoping Review.</t>
  </si>
  <si>
    <t xml:space="preserve">2024   Neonatal neurobehavior associated with developmental changes from age 2 to 3 in very preterm infants.</t>
  </si>
  <si>
    <t xml:space="preserve">2024   Sex-dependent placental methylation quantitative trait loci provide insight into the prenatal origins of childhood onset traits and conditions.</t>
  </si>
  <si>
    <t xml:space="preserve">2024   EV-miRNA associated with environmental air pollution exposures in the MADRES cohort.</t>
  </si>
  <si>
    <t xml:space="preserve">2024   Associations between placental hydroxymethylation and birthweight.</t>
  </si>
  <si>
    <t xml:space="preserve">2023   Prioritization of potential causative genes for schizophrenia in placenta</t>
  </si>
  <si>
    <t xml:space="preserve">2023   Pyrethroid pesticide exposure and placental effects.</t>
  </si>
  <si>
    <t xml:space="preserve">2023   Placental transcriptomic signatures of spontaneous preterm birth.</t>
  </si>
  <si>
    <t xml:space="preserve">2023   Neurobehavioral and Medical Correlates of Autism Screening: 2-Year Outcomes for Infants Born Very Preterm.</t>
  </si>
  <si>
    <t xml:space="preserve">2023   Metabolic Perturbations Associated with an Exposure Mixture of Per- and Polyfluoroalkyl Substances in the Atlanta African American Maternal-Child Cohort.</t>
  </si>
  <si>
    <t xml:space="preserve">2023   Association of maternal education, neighborhood deprivation, and racial segregation with gestational age at birth by maternal race/ethnicity and United States Census region in the ECHO cohorts.</t>
  </si>
  <si>
    <t xml:space="preserve">2022   Urinary metals and maternal circulating extracellular vesicle microRNA in the MADRES pregnancy cohort</t>
  </si>
  <si>
    <t xml:space="preserve">2022   Sex-dependent placental mQTL provide insight into the prenatal origins of childhood-onset traits and conditions</t>
  </si>
  <si>
    <t xml:space="preserve">2022   Select Early-Life Environmental Exposures and DNA Methylation in the Placenta</t>
  </si>
  <si>
    <t xml:space="preserve">2022   Research Capacity Training on Environmental Health and Noncommunicable Diseases in the Country of Georgia: Challenges and Lessons Learned during the COVID-19 Pandemic</t>
  </si>
  <si>
    <t xml:space="preserve">2022   Profiling placental DNA methylation associated with maternal SSRI treatment during pregnancy</t>
  </si>
  <si>
    <t xml:space="preserve">2022   Prenatal lead (Pb) exposure is associated with differential placental DNA methylation and hydroxymethylation in a human population</t>
  </si>
  <si>
    <t xml:space="preserve">2022   Prenatal exposure to particulate matter and placental gene expression</t>
  </si>
  <si>
    <t xml:space="preserve">2022   Prenatal exposure to metal mixtures and newborn neurobehavior in the Rhode Island Child Health Study</t>
  </si>
  <si>
    <t xml:space="preserve">2022   PM2.5 exposure during pregnancy is associated with altered placental expression of lipid metabolic genes in a US birth cohort</t>
  </si>
  <si>
    <t xml:space="preserve">2022   Placental multi-omics integration identifies candidate functional genes for birthweight</t>
  </si>
  <si>
    <t xml:space="preserve">2022   Placental genomics mediates genetic associations with complex health traits and disease</t>
  </si>
  <si>
    <t xml:space="preserve">2022   Placental Gene Transcript Proportions are Altered in the Presence of In Utero Arsenic and Cadmium Exposures, Genetic Variants, and Birth Weight Differences</t>
  </si>
  <si>
    <t xml:space="preserve">2022   Per- and polyfluoroalkyl substance (PFAS) exposure, maternal metabolomic perturbation, and fetal growth in African American women: A meet-in-the-middle approach</t>
  </si>
  <si>
    <t xml:space="preserve">2022   Investigation of Prenatal Pesticide Exposure and Neurodevelopmental Deficits in Northern Thailand: Protocol for a Longitudinal Birth Cohort Study</t>
  </si>
  <si>
    <t xml:space="preserve">2022   High-resolution metabolomics of exposure to tobacco smoke during pregnancy and adverse birth outcomes in the Atlanta African American maternal-child cohort</t>
  </si>
  <si>
    <t xml:space="preserve">2022   Extracellular vesicle microRNA in early versus late pregnancy with birth outcomes in the MADRES study</t>
  </si>
  <si>
    <t xml:space="preserve">2022   Epigenome-wide scan identifies differentially methylated regions for lung cancer using pre-diagnostic peripheral blood</t>
  </si>
  <si>
    <t xml:space="preserve">2022   DNA methylation in former extremely low birth weight newborns: association with cardiovascular and endocrine function</t>
  </si>
  <si>
    <t xml:space="preserve">2022   CpG methylation patterns in placenta and neonatal blood are differentially associated with neonatal inflammation</t>
  </si>
  <si>
    <t xml:space="preserve">2022   Association between placental toxic metal exposure and NICU Network Neurobehavioral Scales (NNNS) profiles in the Rhode Island Child Health Study (RICHS)</t>
  </si>
  <si>
    <t xml:space="preserve">2022   Prenatal Trace Metal Exposures and Genetic Variants Inform Birth Weight-related Placental Isoform Expression</t>
  </si>
  <si>
    <t xml:space="preserve">2021   Selenium-associated differentially expressed microRNAs and their targeted mRNAs across the placental genome in two U.S. birth cohorts</t>
  </si>
  <si>
    <t xml:space="preserve">2021   Prenatal risk factors and neonatal DNA methylation in very preterm infants</t>
  </si>
  <si>
    <t xml:space="preserve">2021   Pre-diagnosis neutrophil-to-lymphocyte ratio and mortality in individuals who develop lung cancer</t>
  </si>
  <si>
    <t xml:space="preserve">2021   Placental microRNA expression associates with birthweight through control of adipokines: results from two independent cohorts</t>
  </si>
  <si>
    <t xml:space="preserve">2021   Placental gene networks at the interface between maternal PM 2.5 exposure early in gestation and reduced infant birthweight</t>
  </si>
  <si>
    <t xml:space="preserve">2021   Placental DNA methylation signatures of maternal smoking during pregnancy and potential impacts on fetal growth</t>
  </si>
  <si>
    <t xml:space="preserve">2021   NEOage clocks - epigenetic clocks to estimate post-menstrual and postnatal age in preterm infants</t>
  </si>
  <si>
    <t xml:space="preserve">2021   Methylome-wide Analysis Reveals Epigenetic Marks Associated with Resistance to Tuberculosis in Human Immunodeficiency Virus-Infected Individuals from East Africa</t>
  </si>
  <si>
    <t xml:space="preserve">2021   Longitudinal changes in epigenetic age in youth with perinatally acquired HIV and youth who are perinatally HIV-exposed uninfected</t>
  </si>
  <si>
    <t xml:space="preserve">2021   Light environment influences developmental programming of the metabolic and visual systems in mice</t>
  </si>
  <si>
    <t xml:space="preserve">2021   Investigation of Prenatal Pesticide Exposure and Neurodevelopmental Deficits in Northern Thailand: Protocol for a Longitudinal Birth Cohort Study (Preprint)</t>
  </si>
  <si>
    <t xml:space="preserve">2021   In-utero exposure to zidovudine-containing antiretroviral therapy and clonal hematopoiesis in HIV-exposed uninfected newborns</t>
  </si>
  <si>
    <t xml:space="preserve">2021   Genome-wide DNA methylation differences and polychlorinated biphenyl (PCB) exposure in a US population</t>
  </si>
  <si>
    <t xml:space="preserve">… and 286 older titles, not shown</t>
  </si>
  <si>
    <t xml:space="preserve">Sajani Patel   ·   MD; MPH</t>
  </si>
  <si>
    <t xml:space="preserve">spat377@emory.edu</t>
  </si>
  <si>
    <t xml:space="preserve">2018   Letter to the Editor Regarding "HIV Testing at Visits to Physicians' Offices in the U.S., 2009-2012".</t>
  </si>
  <si>
    <t xml:space="preserve">2016   Why Physicians Don't Ask: Interpersonal and Intrapersonal Barriers to HIV Testing-Making a Case for a Patient-Initiated Campaign.</t>
  </si>
  <si>
    <t xml:space="preserve">Jacqueline C. Lee   ·   MD; BS</t>
  </si>
  <si>
    <t xml:space="preserve">jclee23@emory.edu</t>
  </si>
  <si>
    <t xml:space="preserve">https://med.emory.edu/directory/profile/?u=JCLEE23</t>
  </si>
  <si>
    <t xml:space="preserve">Dr. Jacqueline Lee is a reproductive endocrinology and infertility specialist at the Emory Reproductive Center where she joined in 2023. Dr. Lee graduated with the highest distinction from the University of North Carolina at Chapel Hill and subsequently received her medical degree from the UNC School of Medicine. As a medical student she was inducted into the Alpha Omega Alpha medical honor society and the Gold Humanism Honor Society. She then completed her OB/GYN Residency at Northwestern University in Chicago where she was awarded the Michael Newton award awarded to the resident who combines clinical excellence with concerns for the emotional and social needs of the patient. Following residency, Dr. Lee completed her Fellowship in Reproductive Endocrinology and Infertility at the Emory Reproductive Center. As a researcher, Dr. Lee has collaborated with the CDC on multiple projects including two manuscripts published in the American Journal of Obstetrics and Gynecology. Dr. Lee has presented her research at multiple national scientific and clinical meetings, including American Society for Reproductive Medicine and the American Congress of Obstetrics and Gynecology. She is board-certified in obstetrics and gynecology and reproductive endocrinology and infertility. She is a member of the American Society for Reproductive Medicine, the American Congress of Obstetricians and Gynecologists and the Georgia Ob/GYN society. Her clinical interests include infertility, access to care, and fertility preservation.</t>
  </si>
  <si>
    <t xml:space="preserve">2026   Risk is in the eye of the beholder</t>
  </si>
  <si>
    <t xml:space="preserve">2026   Effect of occupation on assisted reproduction outcomes in an oocyte donor model</t>
  </si>
  <si>
    <t xml:space="preserve">2025   US medical student health insurance coverage for fertility services</t>
  </si>
  <si>
    <t xml:space="preserve">2024   Trends and outcomes of fresh and frozen donor oocyte cycles in the United States</t>
  </si>
  <si>
    <t xml:space="preserve">2023   Trends and Outcomes of Assisted Reproductive Technology Cycles Using a Gestational Carrier Between 2014 and 2020</t>
  </si>
  <si>
    <t xml:space="preserve">Suzana John   ·   MBBS</t>
  </si>
  <si>
    <t xml:space="preserve">sjohn8@emory.edu</t>
  </si>
  <si>
    <t xml:space="preserve">https://www.emoryhealthcare.org/providers/suzana-alex-john-776973</t>
  </si>
  <si>
    <t xml:space="preserve">2018   Cutaneous thrombotic vasculopathy related to poorly controlled ulcerative colitis.</t>
  </si>
  <si>
    <t xml:space="preserve">Noreen Khan   ·   MD</t>
  </si>
  <si>
    <t xml:space="preserve">nkhan30@emory.edu</t>
  </si>
  <si>
    <t xml:space="preserve">https://www.emoryhealthcare.org/providers/noreen-khan-777665</t>
  </si>
  <si>
    <t xml:space="preserve">Noreen Khan, MD is Assistant Professor in the Department of Hematology and Medical Oncology at Emory University School of Medicine. Board certified in hematology and medical oncology, Dr. Khan treats patients with cancer at Emory Johns Creek Hospital and Emory Buford Clinic. Prior to joining Emory, she was a member of a community based hematology and medical oncology practice in LaGrange, Georgia. Dr. Khan holds professional memberships with American Society of Clinical Oncology, American Society of Hematology and Georgia Society of Medical Oncology. Dr. Khan received her MD from State University of New York Downstate Medical College in Brooklyn, New York. She completed her residency in internal medicine and fellowship in hematology/oncology at Long Island Jewish Medical Center where she was Chief Fellow in her last year of training.</t>
  </si>
  <si>
    <t xml:space="preserve">2026   Mantle cell lymphoma outcomes following sequential first-line bendamustine-rituximab and second-line Bruton's tyrosine kinase inhibitor therapy</t>
  </si>
  <si>
    <t xml:space="preserve">2026   Hypothermia and Mortality Among Children in the Emergency Department</t>
  </si>
  <si>
    <t xml:space="preserve">2014   Authorship in global mental health research: recommendations for collaborative approaches to writing and publishing</t>
  </si>
  <si>
    <t xml:space="preserve">Jonathan Rupp   ·   BA; MS; PhD</t>
  </si>
  <si>
    <t xml:space="preserve">jrupp2@emory.edu</t>
  </si>
  <si>
    <t xml:space="preserve">https://sph.emory.edu/profile/faculty/jonathan-rupp</t>
  </si>
  <si>
    <t xml:space="preserve">https://med.emory.edu/directory/profile/?u=JRUPP2 Director, Injury Prevention Research Center at Emory (IPRCE)</t>
  </si>
  <si>
    <t xml:space="preserve">CE24-001, Injury Prevention Research Center at Emory (IPRCE).
Targeted antibiotic therapy for Shigella among children in low-resource settings</t>
  </si>
  <si>
    <t xml:space="preserve">2024   Editorial: Addressing equity issues in traffic injury prevention</t>
  </si>
  <si>
    <t xml:space="preserve">Nanda Kishore Routhu   ·   PhD; MS</t>
  </si>
  <si>
    <t xml:space="preserve">nrouthu@emory.edu</t>
  </si>
  <si>
    <t xml:space="preserve">2023   Efficacy of mRNA-1273 and Novavax ancestral or BA.1 spike booster vaccines against SARS-CoV-2 BA.5 infection in nonhuman primates.</t>
  </si>
  <si>
    <t xml:space="preserve">2023   Delivery of gene editing therapeutics.</t>
  </si>
  <si>
    <t xml:space="preserve">2022   A modified vaccinia Ankara vaccine expressing spike and nucleocapsid protects rhesus macaques against SARS-CoV-2 Delta infection.</t>
  </si>
  <si>
    <t xml:space="preserve">2022   Multifaceted roles of plant derived small molecule inhibitors on replication cycle of SARS-CoV-2.</t>
  </si>
  <si>
    <t xml:space="preserve">2022   Podophyllum hexandrum and its active constituents: Novel radioprotectants.</t>
  </si>
  <si>
    <t xml:space="preserve">2021   A modified vaccinia Ankara vector-based vaccine protects macaques from SARS-CoV-2 infection, immune pathology, and dysfunction in the lungs.</t>
  </si>
  <si>
    <t xml:space="preserve">2021   SARS-CoV-2 RBD trimer protein adjuvanted with Alum-3M-052 protects from SARS-CoV-2 infection and immune pathology in the lung.</t>
  </si>
  <si>
    <t xml:space="preserve">2020   Retinoic Acid Improves the Recovery of Replication-Competent Virus from Latent SIV Infected Cells.</t>
  </si>
  <si>
    <t xml:space="preserve">2020   Modified Vaccinia Ankara Based SARS-CoV-2 Vaccine Expressing Full-Length Spike Induces Strong Neutralizing Antibody Response</t>
  </si>
  <si>
    <t xml:space="preserve">2019   Glycosylation of Zika Virus is Important in Host-Virus Interaction and Pathogenic Potential.</t>
  </si>
  <si>
    <t xml:space="preserve">Neo Gebru   ·   PhD</t>
  </si>
  <si>
    <t xml:space="preserve">nmgebru@emory.edu</t>
  </si>
  <si>
    <t xml:space="preserve">https://med.emory.edu/directory/profile/?u=NMGEBRU</t>
  </si>
  <si>
    <t xml:space="preserve">Nioud (Neo) Gebru, Ph.D. is an Assistant Professor of Family Medicine in the Department of Family and Preventive Medicine. Dr. Gebru is a behavioral scientist with a focus on applying (1) theories (e.g., behavioral economics) and (2) technology (e.g., text messaging) to develop and test interventions designed to facilitate sustained behavior change. Dr. Gebru earned his bachelor's and master's in psychology from the University of Maryland, College Park, his PhD in Health and Human Performance (Concentration: Health Behavior) from the University of Florida, and completed postdoctoral training and research at the Brown University Center for Alcohol and Addiction Studies. He is currently based at Emory, in Atlanta, serving as Director of the Basic and Applied Addictions Research (BAAR) laboratory, where he is building a career dedicated to transforming addictions and mental health treatment and to mentoring the next generation of scientists.</t>
  </si>
  <si>
    <t xml:space="preserve">Kera McNelis   ·   MD, MS</t>
  </si>
  <si>
    <t xml:space="preserve">kmmcnel@emory.edu</t>
  </si>
  <si>
    <t xml:space="preserve">2026   Gastrostomy Tube Use in Large-for-Gestational-Age Infants in US NICUs</t>
  </si>
  <si>
    <t xml:space="preserve">2026   Standardizing outcome measures in preterm infant nutrition research: Use of anthropometry and body composition in the neonatal intensive care unit</t>
  </si>
  <si>
    <t xml:space="preserve">2026   Neonatal Malnutrition Diagnoses Align Differently With Body Composition Outcomes: A Retrospective Cohort Analysis Evaluating 3 Different Growth Standards</t>
  </si>
  <si>
    <t xml:space="preserve">2026   Availability, utilization, and barriers to bowel ultrasound for necrotizing enterocolitis: a national multidisciplinary survey.</t>
  </si>
  <si>
    <t xml:space="preserve">2026   EBNEO Commentary: Association Between Early Fortification and Body Composition in Very Preterm Infants.</t>
  </si>
  <si>
    <t xml:space="preserve">2026   Balancing access to donor human milk: Rationing vs expanding use.</t>
  </si>
  <si>
    <t xml:space="preserve">2025   Does early high-volume enteral feeding initiation increase the total days on full feeds in very preterm infants?</t>
  </si>
  <si>
    <t xml:space="preserve">2025   ECI biocommentary: Kera McNelis</t>
  </si>
  <si>
    <t xml:space="preserve">2025   Body Composition in Preterm Infants: Current Insights and Emerging Perspectives</t>
  </si>
  <si>
    <t xml:space="preserve">2025   Early childhood growth following prenatal opioid exposure and Neonatal Opioid Withdrawal Syndrome.</t>
  </si>
  <si>
    <t xml:space="preserve">2025   Neonatal malnutrition, body composition, and childhood obesity in critically ill infants.</t>
  </si>
  <si>
    <t xml:space="preserve">2025   Postnatal Growth Assessment of the Very-Low-Birth-Weight Preterm Infant.</t>
  </si>
  <si>
    <t xml:space="preserve">2025   Association of Early Nutrition with Bronchopulmonary Dysplasia Severity and Magnetic Resonance Imaging Lung Characteristics in Preterm Infants.</t>
  </si>
  <si>
    <t xml:space="preserve">2024   Enhancing Interpretation of One-Time Body Composition Measurement at Near-Term Gestation in Preterm Infants: An Exploratory Study</t>
  </si>
  <si>
    <t xml:space="preserve">2023   Single-Center Experience on Growth in Infants Born With End-Stage Kidney Disease</t>
  </si>
  <si>
    <t xml:space="preserve">2022   Adaptation of Essential Care for Every Baby educational program to improve infant outcomes in the context of Zika.</t>
  </si>
  <si>
    <t xml:space="preserve">2022   Roadmap to Success: Interactive Timeline With Resources for Fellowship Scholarly Activity.</t>
  </si>
  <si>
    <t xml:space="preserve">2022   Body Composition of Infants With Congenital Gastroschisis.</t>
  </si>
  <si>
    <t xml:space="preserve">2021   Quality Improvement Efforts Reduce Incidence of Surgical Necrotizing Enterocolitis and Related Deaths</t>
  </si>
  <si>
    <t xml:space="preserve">2021   Effect of parenteral nutrition duration on patterns of growth and body composition in very low‐birth‐weight premature infants</t>
  </si>
  <si>
    <t xml:space="preserve">2021   Body Composition of Very Low‐Birth‐Weight Infants Fed Fortified Human Milk: A Pilot Study</t>
  </si>
  <si>
    <t xml:space="preserve">2021   Infant body composition assessment in the neonatal intensive care unit (NICU) using air displacement plethysmography: Strategies for implementation into clinical workflow.</t>
  </si>
  <si>
    <t xml:space="preserve">2021   Delay in achieving enteral autonomy and growth outcomes in very low birth weight infants with surgical necrotizing enterocolitis.</t>
  </si>
  <si>
    <t xml:space="preserve">2017   Avery's Diseases of the Newborn</t>
  </si>
  <si>
    <t xml:space="preserve">2017   Nutrition for the Extremely Preterm Infant.</t>
  </si>
  <si>
    <t xml:space="preserve">2016   Effects of parenteral phosphorus dose restriction in preterm infants.</t>
  </si>
  <si>
    <t xml:space="preserve">2015   Standardized Slow Enteral Feeding Protocol and the Incidence of Necrotizing Enterocolitis in Extremely Low Birth Weight Infants.</t>
  </si>
  <si>
    <t xml:space="preserve">2014   Metabolic bone disease: a continued challenge in extremely low birth weight infants.</t>
  </si>
  <si>
    <t xml:space="preserve">2011   Premature thelarche in infants and toddlers: prevalence, natural history and environmental determinants.</t>
  </si>
  <si>
    <t xml:space="preserve">James Bailey   ·   MD; MS; BS</t>
  </si>
  <si>
    <t xml:space="preserve">jlbaile@emory.edu</t>
  </si>
  <si>
    <t xml:space="preserve">https://med.emory.edu/directory/profile/?u=JLBAILE</t>
  </si>
  <si>
    <t xml:space="preserve">Dr. James L. Bailey attended medical school at Jefferson Medical College and then trained in internal medicine at the Mercy Hospital in Pittsburgh. Following completion of a fellowship in nephrology at Emory, he joined the Emory faculty in 1991 as an assistant professor of medicine. Since then, he has been involved in a variety of research and clinical activities with a special focus on chronic kidney disease. His basic science interest is looking at mechanisms of muscle wasting under conditions of chronic kidney disease. This includes studying insulin resistance that occurs commonly with chronic kidney disease. In the clinical arena, Dr. Bailey has been involved in studies that have aimed at improving conditions for patients on chronic dialysis. This has included studying dosing of erythropoeitin in patients on chronic hemodialyis, looking at delivery of optimal dialysis dose for patients on hemodialysis and looking at disorders of sleep for patients on chronid dialysis. As the director of Emory University Hospital's dialysis unit, Dr. Bailley is heavily involved in the delivery of various renal replacement therapies in the acute setting including hemodialysis, peritoneal dialysis and continuous renal replacement therapies (CRRT). He also attends on the renal services at Emory University Hospital, Grady Memorial Hospital and the V.A. Teaching Hospital. As a nephrology consultant, he sees patients at the Emory Clinic for a variety of renal related problems, including blood pressure control, diabetic nephropathy, glomerulonephritis and chronic kidney disease. He also sees patients on both chronic hemodialysis and peritoneal dialysis with a special interest in home dialysis modalities.</t>
  </si>
  <si>
    <t xml:space="preserve">Titles (46)</t>
  </si>
  <si>
    <t xml:space="preserve">2026   Running on Empty: How Back-to-Backs Impact Pace and the Four Factors of Basketball Success</t>
  </si>
  <si>
    <t xml:space="preserve">2026   Certificate of Need Laws and Health Care Entrepreneurship: How Big is the Barrier?</t>
  </si>
  <si>
    <t xml:space="preserve">2026   Building a Comprehensive Database of Hospital Certificate of Need Law Changes</t>
  </si>
  <si>
    <t xml:space="preserve">2026   A benchmark of expert-level academic questions to assess AI capabilities</t>
  </si>
  <si>
    <t xml:space="preserve">2026   Investigating the reproducibility of the social and behavioural sciences.</t>
  </si>
  <si>
    <t xml:space="preserve">2026   Investigating the replicability of the social and behavioural sciences.</t>
  </si>
  <si>
    <t xml:space="preserve">2025   Music majors and musician income</t>
  </si>
  <si>
    <t xml:space="preserve">2025   Certificate of Need and the labor market</t>
  </si>
  <si>
    <t xml:space="preserve">2023   Competition and health-care spending: Theory and application to Certificate of Need laws</t>
  </si>
  <si>
    <t xml:space="preserve">2023   Comparing hospital costs and length of stay for cancer patients in New York State Comprehensive Cancer Centers versus nondesignated academic centers and community hospitals</t>
  </si>
  <si>
    <t xml:space="preserve">2023   College major’s effect on marriage and children</t>
  </si>
  <si>
    <t xml:space="preserve">2022   The Evolution of Job Lock in the U.S.: Evidence from the Affordable Care Act</t>
  </si>
  <si>
    <t xml:space="preserve">2022   State Health Insurance Benefit Mandates and Health Care Affordability</t>
  </si>
  <si>
    <t xml:space="preserve">2022   Continuous job lock: employer health insurance contributions and job tenure</t>
  </si>
  <si>
    <t xml:space="preserve">2022   Certificate-of-need laws and substance use treatment</t>
  </si>
  <si>
    <t xml:space="preserve">2021   Regulatory review time and pharmaceutical research and development</t>
  </si>
  <si>
    <t xml:space="preserve">2021   Larger polities are more regulated</t>
  </si>
  <si>
    <t xml:space="preserve">2021   Expert product reviews and conflict of interest</t>
  </si>
  <si>
    <t xml:space="preserve">2021   Does premarital cohabitation increase the likelihood of future marital dissolution?</t>
  </si>
  <si>
    <t xml:space="preserve">2021   Certificate of Need and Inpatient Psychiatric Services</t>
  </si>
  <si>
    <t xml:space="preserve">2021   Broadband Speeds in Fibered us Markets: An Empirical Analysis</t>
  </si>
  <si>
    <t xml:space="preserve">2021   Adaptive physiological water conservation explains hypertension and muscle catabolism in experimental chronic renal failure.</t>
  </si>
  <si>
    <t xml:space="preserve">2021   Thrombocytopenia Induced by Polysulfone Dialysis Membranes.</t>
  </si>
  <si>
    <t xml:space="preserve">2020   Certificate of need laws: A systematic review and cost-effectiveness analysis</t>
  </si>
  <si>
    <t xml:space="preserve">2020   Cerebral blood flow regulation in end-stage kidney disease.</t>
  </si>
  <si>
    <t xml:space="preserve">2020   A New Dimension to the Mechanisms Causing Muscle Loss in CKD.</t>
  </si>
  <si>
    <t xml:space="preserve">2019   The Effect of the Affordable Care Act on Entrepreneurship among Older Adults</t>
  </si>
  <si>
    <t xml:space="preserve">2019   Regressive effects of regulation on wages</t>
  </si>
  <si>
    <t xml:space="preserve">2019   Can health spending be reined in through supply restraints? An evaluation of certificate-of-need laws</t>
  </si>
  <si>
    <t xml:space="preserve">2019   How to Successfully Train a Modern Nephrologist: Experience from US Fellowship Training Practice.</t>
  </si>
  <si>
    <t xml:space="preserve">2018   The value of waivers from the affordable care act</t>
  </si>
  <si>
    <t xml:space="preserve">2018   The Effect of Certificate of Need Laws on All-Cause Mortality</t>
  </si>
  <si>
    <t xml:space="preserve">2018   Health Insurance Benefit Mandates and Firm Size Distribution</t>
  </si>
  <si>
    <t xml:space="preserve">2018   Does “excess supply” drive excessive health spending? The case of certificate-of-need laws</t>
  </si>
  <si>
    <t xml:space="preserve">2018   Authors' response to: Reducing tunneled catheter-related infection in hemodialysis patients with nationwide standardization of catheter care protocol.</t>
  </si>
  <si>
    <t xml:space="preserve">2017   The political roots of health insurance benefit mandates</t>
  </si>
  <si>
    <t xml:space="preserve">2017   Regulating away competition: the effect of regulation on entrepreneurship and employment</t>
  </si>
  <si>
    <t xml:space="preserve">2017   Health insurance and the supply of entrepreneurs: new evidence from the affordable care act</t>
  </si>
  <si>
    <t xml:space="preserve">2017   Chlorhexidine-impregnated transparent dressings decrease catheter-related infections in hemodialysis patients: a quality improvement project.</t>
  </si>
  <si>
    <t xml:space="preserve">2016   The effect of state health insurance benefit mandates on premiums and employee contributions</t>
  </si>
  <si>
    <t xml:space="preserve">2016   Employer-provided health insurance and job mobility: Did the affordable care act reduce job lock?</t>
  </si>
  <si>
    <t xml:space="preserve">2016   Urea transporters and sweat response to uremia.</t>
  </si>
  <si>
    <t xml:space="preserve">2015   Did the Affordable Care Act's dependent coverage mandate increase premiums?</t>
  </si>
  <si>
    <t xml:space="preserve">2014   Who pays the high health costs of older workers? Evidence from prostate cancer screening mandates</t>
  </si>
  <si>
    <t xml:space="preserve">2014   The effect of health insurance benefit mandates on premiums</t>
  </si>
  <si>
    <t xml:space="preserve">2013   Who Pays For Obesity? Evidence From Health Insurance Benefit Mandates</t>
  </si>
  <si>
    <t xml:space="preserve">Brian Vickery   ·   MD; CRNA</t>
  </si>
  <si>
    <t xml:space="preserve">Pediatrics (SOM)
CF-AIR (CHOA)
CCTR (CHOA)
CIAG (CHOA)</t>
  </si>
  <si>
    <t xml:space="preserve">bpvicke@emory.edu</t>
  </si>
  <si>
    <t xml:space="preserve">https://www.choa.org/doctors/brian-p-vickery</t>
  </si>
  <si>
    <t xml:space="preserve">Prior to joining Children’s, Dr. Vickery held faculty positions at Duke University School of Medicine and the University of North Carolina-Chapel Hill School of Medicine. While working at the University of North Carolina School of Medicine, he led a group that was first to show sustained unresponsiveness can occur after peanut OIT. He subsequently demonstrated that early treatment of peanut-allergic preschool children with OIT is safe and leads to better outcomes. Most recently at UNC, Dr. Vickery led the development of an investigational treatment for peanut allergy as a Senior Medical Director at Aimmune Therapeutics.</t>
  </si>
  <si>
    <t xml:space="preserve">Kristina Angelo   ·   DO</t>
  </si>
  <si>
    <t xml:space="preserve">kangelo@emory.edu</t>
  </si>
  <si>
    <t xml:space="preserve">https://www.emoryhealthcare.org/providers/kristina-marie-angelo-777072</t>
  </si>
  <si>
    <t xml:space="preserve">2025   Efficacy of bismuth subsalicylate on the prevention of travellers' diarrhoea, 2018-2023.</t>
  </si>
  <si>
    <t xml:space="preserve">2025   Author's response to concerns by Gibb, et al. on 'Efficacy of Bismuth Subsalicylate on the Prevention of Travelers' Diarrhea'.</t>
  </si>
  <si>
    <t xml:space="preserve">2025   Costs of typhoid vaccination for international travelers from the United States.</t>
  </si>
  <si>
    <t xml:space="preserve">2024   Epidemiology of travel-associated dengue from 2007 to 2022: A GeoSentinel analysis.</t>
  </si>
  <si>
    <t xml:space="preserve">2024   Host Response Markers of Inflammation and Endothelial Activation Associated with COVID-19 Severity and Mortality: A GeoSentinel Prospective Observational Cohort.</t>
  </si>
  <si>
    <t xml:space="preserve">2024   Chikungunya infection in returned travellers: results from the geosentinel network, 2005-2020.</t>
  </si>
  <si>
    <t xml:space="preserve">2024   Intestinal protozoa in returning travellers: a GeoSentinel analysis from 2007 to 2019.</t>
  </si>
  <si>
    <t xml:space="preserve">2024   From GeoSentinel data to epidemiological insights: a multidisciplinary effort towards artificial intelligence-supported detection of infectious disease outbreaks.</t>
  </si>
  <si>
    <t xml:space="preserve">2024   Travel Health-Related Preparation Practices of Institutions of Higher Education and Occurrence of Health-Related Events among Undergraduate Students Studying Abroad, 2018-2021.</t>
  </si>
  <si>
    <t xml:space="preserve">2023   A Zebra Among the Horses: Clinical Implications of Malaria in the United States.</t>
  </si>
  <si>
    <t xml:space="preserve">2023   Genomic Epidemiology of a Severe Acute Respiratory Syndrome Coronavirus 2 Outbreak in a US Major League Soccer Club: Was It Travel Related?</t>
  </si>
  <si>
    <t xml:space="preserve">2023   Clinical Characteristics and Outcomes Among Travelers With Severe Dengue : A GeoSentinel Analysis.</t>
  </si>
  <si>
    <t xml:space="preserve">2023   Epidemiological and clinical characteristics of patients with monkeypox in the GeoSentinel Network: a cross-sectional study.</t>
  </si>
  <si>
    <t xml:space="preserve">2023   Dengue outbreak amongst travellers returning from Cuba-GeoSentinel surveillance network, January-September 2022.</t>
  </si>
  <si>
    <t xml:space="preserve">2023   Mpox respiratory transmission: the state of the evidence.</t>
  </si>
  <si>
    <t xml:space="preserve">2022   Acute hepatitis A in international travellers: a GeoSentinel analysis, 2008-2020.</t>
  </si>
  <si>
    <t xml:space="preserve">2022   A country classification system to inform rabies prevention guidelines and regulations.</t>
  </si>
  <si>
    <t xml:space="preserve">2021   Multidrug-resistant tuberculosis imported into low-incidence countries-a GeoSentinel analysis, 2008-2020.</t>
  </si>
  <si>
    <t xml:space="preserve">2021   Health problems in travellers to Nepal visiting CIWEC clinic in Kathmandu - A GeoSentinel analysis.</t>
  </si>
  <si>
    <t xml:space="preserve">Jill Wells   ·   MD; BA</t>
  </si>
  <si>
    <t xml:space="preserve">jwells4@emory.edu</t>
  </si>
  <si>
    <t xml:space="preserve">https://med.emory.edu/directory/profile/?u=JWELLS4</t>
  </si>
  <si>
    <t xml:space="preserve">Jill R. Wells, MD, joined the Comprehensive Ophthalmology section in July 2009. She participated in an Ocular Oncology Fellowship at the same time, completing it in 2011. She is a a member of the Ocular Oncology and Pathology section and currently serves as the director of the Emory Eye Center Ocular Oncology and Pathology fellowship program. Dr. Wells received her BA degree in Biology at Rollins College. She attended medical school at the Medical College of Georgia, where she was member of the Alpha Omega Alpha medical honor society and was awarded the Merck Manual Award for a perfect GPA. She then completed her residency at the University of Alabama, Birmingham, where she was chief resident and received the Outstanding Resident Teacher Award. She was also awarded second place in the national Bloomberg Resident Video Competition for cataract surgery given by the American College of Eye Surgeons. Her clinical interests include general ophthalmology, cataract surgery, conjunctival tumors, posterior segment tumors including choroidal melanoma, and retinoblastoma. National Recognition Dr. Wells is board certified by the American Board of Ophthalmology. She is a member of the American Academy of Ophthalmology and a member of Alpha Omega Alpha medical honor society. She regularly teaches a “Cataract Surgery for Beginners” course at the AAO annual meeting and has given lectures at the Osler Board Review Course. She has published articles and book chapters in peer-reviewed publications and has presented at national meetings. She was recently given an Achievement Award by the American Academy of Ophthalmology. Areas of Clinical Interest • Adult comprehensive ophthalmology • Cataract surgery • Tumors of the eye</t>
  </si>
  <si>
    <t xml:space="preserve">2025   Bilateral Diffuse Uveal Melanocytic Proliferation with Oral Mucosal Pigmentation.</t>
  </si>
  <si>
    <t xml:space="preserve">2025   Early Genetic Evolution of Driver Mutations in Uveal Melanoma.</t>
  </si>
  <si>
    <t xml:space="preserve">2024   Characteristics of Vitamin A Deficiency Retinopathy at a Tertiary Referral Center in the United States.</t>
  </si>
  <si>
    <t xml:space="preserve">2024   Deep sequencing as a diagnostic tool in patients with suspected primary vitreoretinal lymphoma.</t>
  </si>
  <si>
    <t xml:space="preserve">2024   Ocular Ischemic Events and Vision Loss Associated with COVID-19 Acute Hypoxic Respiratory Failure</t>
  </si>
  <si>
    <t xml:space="preserve">2022   Spontaneous rupture of secondary iris inclusion cyst causing acute glaucoma and other ocular sequelae.</t>
  </si>
  <si>
    <t xml:space="preserve">2022   Isolated hemangiopericytoma of the conjunctiva.</t>
  </si>
  <si>
    <t xml:space="preserve">2021   Nuclear expression of BAP-1 in transvitreal incisional biopsies and subsequent enucleation of eyes with posterior choroidal melanoma.</t>
  </si>
  <si>
    <t xml:space="preserve">2020   An uncommon presentation of chronic myeloid leukemia.</t>
  </si>
  <si>
    <t xml:space="preserve">2018   Distinct Gene Expression Profiles Define Anaplastic Grade in Retinoblastoma.</t>
  </si>
  <si>
    <t xml:space="preserve">Rebecca Filipowicz   ·   PhD</t>
  </si>
  <si>
    <t xml:space="preserve">rebecca.filipowicz@emory.edu</t>
  </si>
  <si>
    <t xml:space="preserve">2023   Mapping LGBTQ+ Youth Resource Density Across Four High HIV Prevalence Corridors in the US.</t>
  </si>
  <si>
    <t xml:space="preserve">2021   Methods for Authenticating Participants in Fully Web-Based Mobile App Trials from the iReach Project: Cross-sectional Study.</t>
  </si>
  <si>
    <t xml:space="preserve">2020   A Data Visualization and Dissemination Resource to Support HIV Prevention and Care at the Local Level: Analysis and Uses of the AIDSVu Public Data Resource.</t>
  </si>
  <si>
    <t xml:space="preserve">2018   Reducing HIV Vulnerability Through a Multilevel Life Skills Intervention for Adolescent Men (The iREACH Project): Protocol for a Randomized Controlled Trial.</t>
  </si>
  <si>
    <t xml:space="preserve">Ajay Kasi   ·   MBBS</t>
  </si>
  <si>
    <t xml:space="preserve">akasi@emory.edu</t>
  </si>
  <si>
    <t xml:space="preserve">https://www.choa.org/doctors/ajay-kasi</t>
  </si>
  <si>
    <t xml:space="preserve">Children’s Healthcare of Atlanta pediatric pulmonologists Ajay Kasi, MD, and Rachel Linneman, MD, published two phase 3 clinical trial results in The Lancet Respiratory Medicine, demonstrating the effectiveness of a new drug for certain types of cystic fibrosis (CF). The drug has made a huge difference for 8-year-old James Cargal who is one of only 33 people in the world who have a rare CF mutation.</t>
  </si>
  <si>
    <t xml:space="preserve">2022   Do Repeated Spirometry Maneuvers Affect Respiratory Mechanics? Resistance Is Not Futile</t>
  </si>
  <si>
    <t xml:space="preserve">2022   Images: Sleep-disordered breathing and hypoventilation in a child with obesity and hypothalamic dysfunction</t>
  </si>
  <si>
    <t xml:space="preserve">2021   Chronic Respiratory Failure, Restrictive Lung Disease, and Skeletal Abnormalities in a Preterm Infant: A Case of Thanatophoric Dysplasia</t>
  </si>
  <si>
    <t xml:space="preserve">2020   Hypoxaemia and interstitial lung disease in an infant with hypothyroidism and hypotonia</t>
  </si>
  <si>
    <t xml:space="preserve">2020   Images: Polysomnographic artifacts in a child with congenital central hypoventilation syndrome</t>
  </si>
  <si>
    <t xml:space="preserve">2020   Persistent Respiratory Failure in a 4-Month-Old Preterm Infant: A Case of Pulmonary Interstitial Glycogenosis</t>
  </si>
  <si>
    <t xml:space="preserve">Virginia Shaffer   ·   MD; BA</t>
  </si>
  <si>
    <t xml:space="preserve">voliva@emory.edu</t>
  </si>
  <si>
    <t xml:space="preserve">https://med.emory.edu/directory/profile/?u=VOLIVA</t>
  </si>
  <si>
    <t xml:space="preserve">Dr. Shaffer earned her MD from the University of Texas Health Science Center at San Antonio, did her general surgery internship and residency at the Emory University School of Medicine, and completed her colorectal surgery fellowship at the Cleveland Clinic Florida. Her clinical specialties are laparoscopy, colon and rectal cancer, anal cancer, Crohn's disease, ulcerative colitis, inflammatory bowel disease, pouchitis, anorectal pathology, hereditary polyposis syndromes, rectal prolapse, pelvic floor disorders, and anal fistula. Dr. Shaffer is the Scientific Director of the Emory Crohn's and Colitis Center. Dr. Shaffer's health services and quality improvement research has included her successful effort to improve communication between home health nurses and Emory clinical personnel to lower the 30-day readmission rate for ileostomy patients, and her work to reduce surgical site infections (SSIs) for patients after colorectal resection by identifying risk factors for SSIs. She is also interested in refining treatment for inflammatory bowel disease patients, and is evaluating the efficacy of fecal microbiota transplantation (FMT) in offering relief from pouchitis, an inflammation of the pouch created during surgery for ulcerative colitis that stores and eliminates solid waste. FMT is the delivery of healthy bacteria via placement of donor stool in the recipient's digestive tract.</t>
  </si>
  <si>
    <t xml:space="preserve">2026   Ratio of Economy of Motion to Assess Gender Differences in Trainee Autonomy During Robotic Surgery-A Feasibility Study.</t>
  </si>
  <si>
    <t xml:space="preserve">2026   Long-term Outcomes Following Colectomy and Liver Transplantation for Inflammatory Bowel Disease With Primary Sclerosing Cholangitis.</t>
  </si>
  <si>
    <t xml:space="preserve">2026   Relevant Anatomy and Pathophysiology</t>
  </si>
  <si>
    <t xml:space="preserve">2024   Objective Performance Indicators During Robotic Right Colectomy Differ According to Surgeon Skill.</t>
  </si>
  <si>
    <t xml:space="preserve">2024   The American Society of Colon and Rectal Surgeons Clinical Practice Guidelines for the Management of Inherited Adenomatous Polyposis Syndromes.</t>
  </si>
  <si>
    <t xml:space="preserve">2024   Improving Statewide Post-Operative Sepsis Performance Measurement Using Hospital Risk Adjustment Within a Surgical Collaborative.</t>
  </si>
  <si>
    <t xml:space="preserve">2024   Objective performance indicators differ in obese and nonobese patients during robotic proctectomy.</t>
  </si>
  <si>
    <t xml:space="preserve">2024   The value of national accreditation program for rectal cancer: A survey of accredited programs and programs seeking accreditation.</t>
  </si>
  <si>
    <t xml:space="preserve">2023   Advanced care planning: A step in the right direction.</t>
  </si>
  <si>
    <t xml:space="preserve">2023   The Impact of Steroids and Inflammatory Bowel Disease in Colectomies in the Era of Enhanced Recovery.</t>
  </si>
  <si>
    <t xml:space="preserve">2023   Social Determinants of Health and Impact in Perioperative Space.</t>
  </si>
  <si>
    <t xml:space="preserve">2023   Impact of Mental Health on General Surgery Patients and Strategies to Improve Outcomes.</t>
  </si>
  <si>
    <t xml:space="preserve">2022   Pain Catastrophizing and Hospital Length of Stay in Colorectal Surgery Patients: a Prospective Cohort Study.</t>
  </si>
  <si>
    <t xml:space="preserve">2022   One century to parity: The need for increased gender equality in academic surgery.</t>
  </si>
  <si>
    <t xml:space="preserve">2022   The SAGES MASTERS program presents: the 10 seminal articles for the Laparoscopic Right Colectomy Pathway.</t>
  </si>
  <si>
    <t xml:space="preserve">2022   Georgia Quality Improvement Programs Multi-Institutional Collection of Postoperative Opioid Data Using ACS-NSQIP Abstraction.</t>
  </si>
  <si>
    <t xml:space="preserve">2022   Redesigning a More Actionable, Service Line Specific, Surgical Performance Dashboard for an Academic Referral Hospital by Adding Severity of Post-Operative Complications.</t>
  </si>
  <si>
    <t xml:space="preserve">2021   The Affordable Care Act: A success?</t>
  </si>
  <si>
    <t xml:space="preserve">2020   Modern Management of Perianal Crohn’s Disease: A Review</t>
  </si>
  <si>
    <t xml:space="preserve">2020   Intraoperative Air Leak, Colonic Ischemia, or Tension: How to Salvage the Failed Anastomosis</t>
  </si>
  <si>
    <t xml:space="preserve">2013   Surgical management of Crohn’s disease</t>
  </si>
  <si>
    <t xml:space="preserve">Stephen Lauer   ·   MD</t>
  </si>
  <si>
    <t xml:space="preserve">slauer@emory.edu</t>
  </si>
  <si>
    <t xml:space="preserve">2001   A comparison of early intensive methotrexate/mercaptopurine with early intensive alternating combination chemotherapy for high-risk B-precursor acute lymphoblastic leukemia: a Pediatric Oncology Group phase III randomized trial.</t>
  </si>
  <si>
    <t xml:space="preserve">2000   Intensification With Intermediate-Dose Intravenous Methotrexate Is Effective Therapy for Children With Lower-Risk B-Precursor Acute Lymphoblastic Leukemia: A Pediatric Oncology Group Study</t>
  </si>
  <si>
    <t xml:space="preserve">Andrew Sherrill   ·   PhD; BS; BA</t>
  </si>
  <si>
    <t xml:space="preserve">amsherr@emory.edu</t>
  </si>
  <si>
    <t xml:space="preserve">https://med.emory.edu/directory/profile/?u=AMSHERR</t>
  </si>
  <si>
    <t xml:space="preserve">Andrew M. Sherrill, Ph.D. is an assistant professor in the Department of Psychiatry and Behavioral Sciences and a practicing clinical psychologist at the Emory Healthcare Veterans Program (see website URL below) and the Emory Adult OCD &amp; Anxiety Intensive Program (see website URL below). He is also the program manager of the Emory University Prolonged Exposure Consultant Training Program (see website URL below). He received a PhD in clinical psychology from Northern Illinois University. He completed his predoctoral internship at the American Lake Division of VA Puget Sound Healthcare System and his postdoctoral fellowship at Emory University School of Medicine. Dr. Sherrill’s clinical expertise includes behavior therapies for trauma- and anxiety-related disorders including prolonged exposure for posttraumatic stress disorder (PTSD), exposure and response prevention for obsessive-compulsive disorder (OCD), and acceptance and commitment therapy for a range of emotion disorders. His areas of specialization include the use of virtual reality in exposure therapies and the implementation of massed delivered evidence-based psychotherapy. His current research aims to understand effective dissemination and implementation of exposure therapy and the development of mobile technologies that facilitate exposure therapy through pervasive health strategies in the areas of ubiquitous computing, human-computer interaction, and machine learning.</t>
  </si>
  <si>
    <t xml:space="preserve">Titles (56)</t>
  </si>
  <si>
    <t xml:space="preserve">2026   Human-centered Perspectives on a Clinical Decision Support System for Intensive Outpatient Veteran PTSD Care</t>
  </si>
  <si>
    <t xml:space="preserve">2026   Psychiatry's Blind Spot: Independent Use of General-Purpose Large Language Models by Individuals With Psychopathology.</t>
  </si>
  <si>
    <t xml:space="preserve">2026   Exposure-based treatment for co-occurring posttraumatic stress disorder and obsessive compulsive disorder in veterans: The feasibility of massed models.</t>
  </si>
  <si>
    <t xml:space="preserve">2025   When and How Long Did Therapy Happen? Soft-Supervising Temporal Localization Using Audio-Language Models</t>
  </si>
  <si>
    <t xml:space="preserve">2025   Thousand Voices of Trauma: A Large-Scale Synthetic Dataset for Modeling Prolonged Exposure Therapy Conversations</t>
  </si>
  <si>
    <t xml:space="preserve">2025   There's No "I" in TEAMMAIT: Impacts of Domain and Expertise on Trust in AI Teammates for Mental Health Work</t>
  </si>
  <si>
    <t xml:space="preserve">2025   The Pursuit of Empathy: Evaluating Small Language Models for PTSD Dialogue Support</t>
  </si>
  <si>
    <t xml:space="preserve">2025   Technoskepticism or Justified Caution? The Future of Human-Centered AI in Mental Health Care</t>
  </si>
  <si>
    <t xml:space="preserve">2025   Teaming with Artificial Intelligence to Learn and Sustain Psychotherapy Delivery Skills: Workplace, Ethical, and Research Implications</t>
  </si>
  <si>
    <t xml:space="preserve">2025   How Real Are Synthetic Therapy Conversations? Evaluating Fidelity in Prolonged Exposure Dialogues</t>
  </si>
  <si>
    <t xml:space="preserve">2025   Fine-Tuning Large Audio-Language Models with LoRA for Precise Temporal Localization of Prolonged Exposure Therapy Elements</t>
  </si>
  <si>
    <t xml:space="preserve">2025   Artificial Intelligence as a Feedback Teammate for Treatment Delivery: Cognitive Behavioral Therapists’ Hopes and Fears</t>
  </si>
  <si>
    <t xml:space="preserve">2025   Generative Artificial Intelligence for Exposure Therapy: Guidelines for Clinicians and Patients.</t>
  </si>
  <si>
    <t xml:space="preserve">2025   The pain of PTSD: integrating persistent or chronic pain within emotional processing theory of posttraumatic stress disorder.</t>
  </si>
  <si>
    <t xml:space="preserve">2025   Rapid Effects of MDMA Administration on Self-Reported Personality Traits and Affect State: A Randomized, Placebo-Controlled Trial in Healthy Adults.</t>
  </si>
  <si>
    <t xml:space="preserve">2024   Using Sensor-Captured Patient-Generated Data to Support Clinical Decision-making in PTSD Therapy</t>
  </si>
  <si>
    <t xml:space="preserve">2024   Effectiveness of the massed delivery of unified protocol for emotional disorders within an intensive outpatient program for military service members and veterans.</t>
  </si>
  <si>
    <t xml:space="preserve">2023   Virtual reality exposure therapy</t>
  </si>
  <si>
    <t xml:space="preserve">2023   Consultation Competencies in Prolonged Exposure Therapy for Posttraumatic Stress Disorder</t>
  </si>
  <si>
    <t xml:space="preserve">2023   An Intensive Outpatient Program With Prolonged Exposure for Veterans With Posttraumatic Stress Disorder: Retention, Predictors, and Patterns of Change (vol 18, pg 606, 2021)</t>
  </si>
  <si>
    <t xml:space="preserve">2023   Extinction-Based Exposure Therapies Using Virtual Reality.</t>
  </si>
  <si>
    <t xml:space="preserve">2022   Sleep Disorder Symptoms and Massed Delivery of Prolonged Exposure for Posttraumatic Stress Disorder: Nodding Off but Not Missing Out</t>
  </si>
  <si>
    <t xml:space="preserve">2022   Perspectives on Integrating Trusted Other Feedback in Therapy for Veterans with PTSD</t>
  </si>
  <si>
    <t xml:space="preserve">2022   Perceived Benefits and Drawbacks of Massed Prolonged Exposure: A Qualitative Thematic Analysis of Reactions From Treatment Completers</t>
  </si>
  <si>
    <t xml:space="preserve">2022   Overcoming Clinician Technophobia: What We Learned from Our Mass Exposure to Telehealth During the COVID-19 Pandemic.</t>
  </si>
  <si>
    <t xml:space="preserve">2021   Moral injury, posttraumatic stress disorder, and prolonged exposure.</t>
  </si>
  <si>
    <t xml:space="preserve">2021   Exposure therapy training and supervision: Research-informed strategies for addressing barriers to adoption and dissemination.</t>
  </si>
  <si>
    <t xml:space="preserve">2021   Creating a National Network of Community-Based Consultants in Prolonged Exposure for PTSD: Outcomes and Lessons Learned from a Consultant Training Program</t>
  </si>
  <si>
    <t xml:space="preserve">2021   A Clinician's Introduction to 360° Video for Exposure Therapy</t>
  </si>
  <si>
    <t xml:space="preserve">2020   Use of Virtual Reality Exposure Therapy for Anxiety- and Trauma-Related Disorders</t>
  </si>
  <si>
    <t xml:space="preserve">2020   Understanding the Care Ecologies of Veterans with PTSD</t>
  </si>
  <si>
    <t xml:space="preserve">2020   Promising Psychological Treatments for Posttraumatic Stress Disorder</t>
  </si>
  <si>
    <t xml:space="preserve">2020   Advances in PTSD Treatment Delivery: Evidence Base and Future Directions for Intensive Outpatient Programs</t>
  </si>
  <si>
    <t xml:space="preserve">2019   Virtual Reality Exposure Therapy for Posttraumatic Stress Disorder</t>
  </si>
  <si>
    <t xml:space="preserve">2019   Trauma-and Stressor-Related Disorders</t>
  </si>
  <si>
    <t xml:space="preserve">2019   Military cultural competence in the context of cognitive behavioural therapy</t>
  </si>
  <si>
    <t xml:space="preserve">2019   Bridging the Gap: Creating a Clinician-Facing Dashboard for PTSD</t>
  </si>
  <si>
    <t xml:space="preserve">2019   The effects of state anxiety on analogue peritraumatic encoding and event memory: introducing the stressful event segmentation paradigm.</t>
  </si>
  <si>
    <t xml:space="preserve">2019   Changes in trauma-potentiated startle, skin conductance, and heart rate within prolonged exposure therapy for PTSD in high and low treatment responders.</t>
  </si>
  <si>
    <t xml:space="preserve">2018   Trauma Potentiated Startle and Cortisol Reactivity as Psychophysiological Mechanisms of Treatment Response Within Prolonged Exposure Therapy for Post-traumatic Stress Disorder</t>
  </si>
  <si>
    <t xml:space="preserve">2018   Effectiveness of the Unified Protocol for Transdiagnostic Treatment of Emotional Disorders Among Veterans With Posttraumatic Stress Disorder: A Pilot Study.</t>
  </si>
  <si>
    <t xml:space="preserve">2017   The role of cinematic techniques in understanding character affect</t>
  </si>
  <si>
    <t xml:space="preserve">2017   The Blame Game: An investigation of Grammatical Aspect and Blame Judgments</t>
  </si>
  <si>
    <t xml:space="preserve">2017   Psychopathology Applications of Event Perception Basic Research: Anticipating the Road Ahead using Posttraumatic Stress Disorder as an Example</t>
  </si>
  <si>
    <t xml:space="preserve">2017   Contact sport participation predicts instrumental aggression, not hostile aggression, within competition: quasi-experimental evidence</t>
  </si>
  <si>
    <t xml:space="preserve">2017   Integrative Therapy Approaches for Posttraumatic Stress Disorder: A Special Focus on Treating Veterans.</t>
  </si>
  <si>
    <t xml:space="preserve">2016   Trait Aggressiveness and Aggressive Behavior in the Context of Provocation and Inhibition</t>
  </si>
  <si>
    <t xml:space="preserve">2016   Registered Replication Report: Hart &amp; Albarracin (2011)</t>
  </si>
  <si>
    <t xml:space="preserve">2016   Present Moment Contact and Nonjudgment: Pilot Data on Dismantling Mindful Awareness in Trauma-Related Symptomatology</t>
  </si>
  <si>
    <t xml:space="preserve">2016   A Qualitative Examination of Situational Risk Recognition Among Female Victims of Physical Intimate Partner Violence</t>
  </si>
  <si>
    <t xml:space="preserve">2015   Understanding How Grammatical Aspect Influences Legal Judgment</t>
  </si>
  <si>
    <t xml:space="preserve">2015   Fear of self-compassion and psychological inflexibility interact to predict PTSD symptom severity</t>
  </si>
  <si>
    <t xml:space="preserve">2011   Undergraduate Students' Attributions of Depicted Adult-Adolescent and Adolescent-Adolescent Sexual Interactions</t>
  </si>
  <si>
    <t xml:space="preserve">2011   Expected Outcomes of Dating Violence: Perspectives From Female Perpetrators</t>
  </si>
  <si>
    <t xml:space="preserve">Helaina Jaffe   ·   MD</t>
  </si>
  <si>
    <t xml:space="preserve">hlklein@emory.edu</t>
  </si>
  <si>
    <t xml:space="preserve">2000   Changing epidemiology of HIV.</t>
  </si>
  <si>
    <t xml:space="preserve">1998   Group O human immunodeficiency virus-1 infections.</t>
  </si>
  <si>
    <t xml:space="preserve">1994   Lack of HIV transmission in the practice of a dentist with AIDS.</t>
  </si>
  <si>
    <t xml:space="preserve">tarnaut@emory.edu</t>
  </si>
  <si>
    <t xml:space="preserve">2024   Distinction between Pneumothorax and Pneumomediastinum Using Point of Care Ultrasound (POCUS): Role of Still Lung Point.</t>
  </si>
  <si>
    <t xml:space="preserve">smtran@emory.edu</t>
  </si>
  <si>
    <t xml:space="preserve">https://www.choa.org/doctors/stephanie-tran</t>
  </si>
  <si>
    <t xml:space="preserve">Board CertificationAm Bd Anes (Sub: Pediatric Anesthesiology), Am Bd AnesthesiologyMedical School:New York Medical CollegeInternship:New York- Presbyterian QueensResidency:MedStar Georgetown University Hospital Childrens Physician Group - Anesthesia at Arthur M. Blank Hospital Arthur M.</t>
  </si>
  <si>
    <t xml:space="preserve">2026   Safety of MVA-BN vaccine in health-care personnel in DR Congo: a prospective cohort study.</t>
  </si>
  <si>
    <t xml:space="preserve">2025   Preoperative Challenges for Pediatric Ambulatory Surgery.</t>
  </si>
  <si>
    <t xml:space="preserve">2024   Ultrasound of the gastric antrum prior to deep extubation.</t>
  </si>
  <si>
    <t xml:space="preserve">Elliot Bishop   ·   MD</t>
  </si>
  <si>
    <t xml:space="preserve">ebisho7@emory.edu</t>
  </si>
  <si>
    <t xml:space="preserve">https://med.emory.edu/directory/profile/?u=EBISHO7</t>
  </si>
  <si>
    <t xml:space="preserve">Dr. Elliot S. Bishop earned his medical degree from the University of Alabama School of Medicine following his undergraduate studies at Princeton University. He completed his general surgery residency at the University of Chicago and went on to pursue a fellowship in surgical critical care and trauma surgery at the Ryder Trauma Center and the University of Miami/Jackson Memorial Health System. He is board certified in general surgery and surgical critical care. Dr. Bishop is a trauma surgeon, emergency and elective general surgeon, and surgical critical care intensivist. His research interests include surgical education, simulation, and point-of-care ultrasound in trauma and critical care. He serves as associate program director and Grady Memorial Hospital site director for the Emory General Surgery Residency, co-director of the Acute Care Surgery perfused cadaver simulation lab, and director of the Trauma and Acute Care Surgery clerkship rotation for Emory School of Medicine students.</t>
  </si>
  <si>
    <t xml:space="preserve">2025   Can STAT video review replace operative experience?</t>
  </si>
  <si>
    <t xml:space="preserve">2024   Pancreaticoduodenectomy in high-grade pancreatic and duodenal trauma.</t>
  </si>
  <si>
    <t xml:space="preserve">2023   Diabetic Soft Tissue Infections.</t>
  </si>
  <si>
    <t xml:space="preserve">Aparna Kumar   ·   Ph.D., M.S.N., MPH and B.S.N</t>
  </si>
  <si>
    <t xml:space="preserve">akuma36@emory.edu</t>
  </si>
  <si>
    <t xml:space="preserve">https://emorynursingprod.prod.acquia-sites.com/faculty-staff/aparna-kumar</t>
  </si>
  <si>
    <t xml:space="preserve">Dr. Kumar has been teaching nursing since 2014 and has worked as a PMHNP for 10+ years, specializing in child and adolescent mental health and perinatal mental health. In her current role, she works in the Mental Health Program at the Carter Center and in a joint faculty position with Emory University Nell Hodgson Woodruff School of Nursing, focused on enhancing global mental health nursing and workforce development. As an associate clinical professor and nurse educator, Kumar provides nurse education expertise to the Carter Center’s behavioral health workforce development activities in low- and middle-income countries. She formerly was director of Thomas Jefferson University's psychiatric mental health nurse practitioner program. She has also served as a psychiatric nurse practitioner across multiple settings, as an instructor at the University of Pennsylvania School of Nursing, and as a researcher and educator in Malawi and Mozambique. Kumar holds Ph.D., M.S.N., and B.S.N. degrees from the University of Pennsylvania School of Nursing and an M.P.H. from the University of Malawi College of Medicine.</t>
  </si>
  <si>
    <t xml:space="preserve">Ingrid Bloom   ·   MD</t>
  </si>
  <si>
    <t xml:space="preserve">ibloom@emory.edu</t>
  </si>
  <si>
    <t xml:space="preserve">https://www.emoryhealthcare.org/providers/ingrid-bloom-778300</t>
  </si>
  <si>
    <t xml:space="preserve">Dr. Bloom joined the Emory University School of Medicine faculty in 2013. She received her Medical Degree at the University of Virginia School of Medicine and completed her Emergency Medicine residency at Emory University. The following year, Dr. Bloom completed her fellowship in Pre-hospital and Disaster Medicine at Emory University. Dr. Bloom is a fellow of the American College of Emergency Physicians, a member of the Society for Academic Emergency Medicine, and a member of the National Association of Emergency Medical Services Physicians.</t>
  </si>
  <si>
    <t xml:space="preserve">2026   Parental Leave and Lactation Policy for EMS Clinicians - A Position Statement and Resource Document of NAEMSP.</t>
  </si>
  <si>
    <t xml:space="preserve">2022   Implementation of an EMS protocol to improve prehospital sepsis recognition.</t>
  </si>
  <si>
    <t xml:space="preserve">2017   Prehospital sepsis care: Understanding provider knowledge, behaviors, and attitudes.</t>
  </si>
  <si>
    <t xml:space="preserve">2015   Prehospital recognition of severe sepsis: development and validation of a novel EMS screening tool.</t>
  </si>
  <si>
    <t xml:space="preserve">frpower@emory.edu</t>
  </si>
  <si>
    <t xml:space="preserve">https://www.emoryhealthcare.org/providers/forrest-ray-powers-2585218</t>
  </si>
  <si>
    <t xml:space="preserve">Kelly Wiltse Nicely   ·   PhD, CRNA, FAANA, FAAN</t>
  </si>
  <si>
    <t xml:space="preserve">kelly.wiltse.nicely@emory.edu</t>
  </si>
  <si>
    <t xml:space="preserve">https://emorynursingprod.prod.acquia-sites.com/faculty-staff/kelly-wiltse-nicely</t>
  </si>
  <si>
    <t xml:space="preserve">Dr. Wiltse Nicely’s program of research has focused on models of care delivery and their relationship to patient access to care and cost-effectiveness and the role of Advanced Practice Registered Nurses (APRN) in patient access to care. Most recently, her research has focused on pain management and the consequences and synergies related to various treatment modalities. Dr. Wiltse Nicely is also engaged in the science of teaching and learning as it relates to interprofessional education and collaboration in simulation. Finally, Dr. Wiltse Nicely serves on a research collaboration dedicated to reviewing and analyzing closed claims data for anesthesia providers. Wiltse Nicely, K. L., Friend, R., Robichaux, C., Edwards, J. A., Cimiotti, J. P., &amp; Jones, K. D. (2024). Association Between Intra-and Postoperative Opioids in Opioid-Naïve Patients in Thoracic Surgery. Annals of Thoracic Surgery Short Reports, 2(4), 865-870. Giordano, N. A., Phan, Q., Kimble, L. P., Chicas, R., Brasher, S., Wiltse Nicely, K.L., ... &amp; Swan, B. A. (2024). The nurse-led equitable learning framework for training programs: A framework to grow, bolster and diversify the nursing and public health workforce. Journal of Professional Nursing, 53, 25-34. Cole, K., Winter, K., King, V., Branch, R. Gist, J., Farward, C., Wiltse Nicely, K.L. (2026). Incorporating virtual reality simulation into nurse anesthesia education: A methods paper. Journal of Nurse Anesthesia Education.</t>
  </si>
  <si>
    <t xml:space="preserve">2026   Incorporating Virtual Reality Simulation into Nurse Anesthesia Education: A Methods Paper</t>
  </si>
  <si>
    <t xml:space="preserve">2026   From Joint Cognitive Systems to Human-AI Joint Cognitive Systems: A Theory Critique and Application to Obstetric Anesthesia Risk Assessment.</t>
  </si>
  <si>
    <t xml:space="preserve">2024   Defining Ultra-Massive Transfusion through a Systematic Review.</t>
  </si>
  <si>
    <t xml:space="preserve">2024   The nurse-led equitable learning framework for training programs: A framework to grow, bolster and diversify the nursing and public health workforce.</t>
  </si>
  <si>
    <t xml:space="preserve">2024   Association Between Intra- and Postoperative Opioids in Opioid-Naïve Patients in Thoracic Surgery.</t>
  </si>
  <si>
    <t xml:space="preserve">2022   Second Victim Syndrome in Trauma Practitioners and Other Ancillary Staff.</t>
  </si>
  <si>
    <t xml:space="preserve">2022   Could Your Patient be Taking Uber or Lyft Post-Anesthesia? A New Era for Transportation Policy and Practice Considerations.</t>
  </si>
  <si>
    <t xml:space="preserve">2019   Advocacy, Research, and Anesthesia Practice Models: Key Studies of Safety and Cost-Effectiveness</t>
  </si>
  <si>
    <t xml:space="preserve">2019   It's Never Just a Block: An Analysis of Regional Anesthesia Closed Claims.</t>
  </si>
  <si>
    <t xml:space="preserve">2019   Cardiovascular Complications in Patients Undergoing Noncardiac Surgery: A Cardiac Closed Claims Thematic Analysis.</t>
  </si>
  <si>
    <t xml:space="preserve">2017   Multimodal analgesia for acute postoperative and trauma-related pain</t>
  </si>
  <si>
    <t xml:space="preserve">2017   Monitoring Hospitalized adult patients for opioid-induced sedation and respiratory depression</t>
  </si>
  <si>
    <t xml:space="preserve">2017   Growth in retail-based clinics after nurse practitioner scope of practice reform</t>
  </si>
  <si>
    <t xml:space="preserve">2016   Answering the call to address chronic pain in military service members and veterans: Progress in improving pain care and restoring health</t>
  </si>
  <si>
    <t xml:space="preserve">2016   Effective Strategies for Achieving Scope of Practice Reform in Pennsylvania.</t>
  </si>
  <si>
    <t xml:space="preserve">2015   The AANA Foundation malpractice closed claims study: A descriptive analysis</t>
  </si>
  <si>
    <t xml:space="preserve">2015   Postgraduate nurse practitioner residency programs: Supporting transition to practice</t>
  </si>
  <si>
    <t xml:space="preserve">2013   Lower mortality for abdominal aortic aneurysm repair in high-volume hospitals is contingent upon nurse staffing.</t>
  </si>
  <si>
    <t xml:space="preserve">2012   Unanticipated dispositions after ambulatory surgery: An important topic with multiple factors</t>
  </si>
  <si>
    <t xml:space="preserve">Stephanie Hampton   ·   MD</t>
  </si>
  <si>
    <t xml:space="preserve">shampt5@emory.edu</t>
  </si>
  <si>
    <t xml:space="preserve">https://www.emoryhealthcare.org/providers/stephanie-faye-hampton-4984675</t>
  </si>
  <si>
    <t xml:space="preserve">2025   From Dust to Casts: Plastic Bronchitis in a Drywall Worker Treated With Thoracic Duct Embolization.</t>
  </si>
  <si>
    <t xml:space="preserve">Lanny Liebeskind   ·   PhD</t>
  </si>
  <si>
    <t xml:space="preserve">chemll1@emory.edu</t>
  </si>
  <si>
    <t xml:space="preserve">https://winshipcancer.emory.edu/profiles/liebeskind-lanny.php</t>
  </si>
  <si>
    <t xml:space="preserve">Lanny S. Liebeskind, PhD, serves as interim senior vice provost for academic affairs and is a Samuel Candler Dobbs Professor in the Department of Chemistry at Emory University. Dr. Liebeskind has been invited to present numerous lectures at universities, chemical companies and meetings throughout the world and has published over 160 research papers in peer-reviewed journals. Dr. Liebeskind is a member of the Discovery and Developmental Therapeutics Research Program at Winship. Dr. Liebeskind earned his PhD in 1976 from the University of Rochester. After obtaining his PhD, he completed postdoctoral fellowships at the Massachusetts Institute of Technology as a National Science Foundation Postdoctoral Fellow and at Stanford University as a National Institutes of Health Postdoctoral Fellow. Samuel Candler Dobbs Professor, Department of Chemistry Interim Senior Vice Provost for Academic Affairs</t>
  </si>
  <si>
    <t xml:space="preserve">2026   Regioselective Synthesis of 1,2,3-Trisubstituted Pyrroles via Addition-Cyclization of Crotonate-Derived Sulfonium Salts with a Carboxylic Acid and an Amine</t>
  </si>
  <si>
    <t xml:space="preserve">2025   Rapid and Scalable Synthesis of Oxazoles Directly from Carboxylic Acids</t>
  </si>
  <si>
    <t xml:space="preserve">2024   Synthetic Efforts toward the Synthesis of a Fluorinated Analog of 5-Aminolevulinic Acid: Practical Synthesis of Racemic and Enantiomerically Defined 3-Fluoro-5-aminolevulinic Acid</t>
  </si>
  <si>
    <t xml:space="preserve">2021   Synthesis, Radiolabeling, and Biological Evaluation of the trans-Stereoisomers of 1-Amino-3-(fluoro-18F)-4-fluorocyclopentane-1-carboxylic Acid as PET Imaging Agents</t>
  </si>
  <si>
    <t xml:space="preserve">2020   Synthesis, Radiolabeling, and Biological Evaluation of the cis Stereoisomers of 1-Amino-3-Fluoro-4-(fluoro-18F)Cyclopentane-1-Carboxylic Acid as PET Imaging Agents</t>
  </si>
  <si>
    <t xml:space="preserve">2012   Introduction to the Ennobling a Base Metal: Presenting Copper in Organometallic Chemistry Issue</t>
  </si>
  <si>
    <t xml:space="preserve">2004   Copper-Mediated, Palladium-Catalyzed Coupling of Thiol Esters with Aliphatic Organoboron Reagents</t>
  </si>
  <si>
    <t xml:space="preserve">2001   Nonbasic, Room Temperature, Palladium-Catalyzed Coupling of Aryl and Alkenyl Iodides with Boronic Acids Mediated by Copper(I) Thiophene-2-carboxylate (CuTC)</t>
  </si>
  <si>
    <t xml:space="preserve">1996   Novel Construction of Highly-Substituted Xanthones</t>
  </si>
  <si>
    <t xml:space="preserve">1989   Cyclobutenediones as precursors to quinones and cyclopentenones</t>
  </si>
  <si>
    <t xml:space="preserve">Sunita Park   ·   PhD</t>
  </si>
  <si>
    <t xml:space="preserve">siyenga@emory.edu</t>
  </si>
  <si>
    <t xml:space="preserve">2015   Atypical Marginal Zone Hyperplasia is a Mimic for Lymphoma in Pediatric Transplant Recipients: Report of Two Patients</t>
  </si>
  <si>
    <t xml:space="preserve">2014   Monocytopenia as a Diagnostic Clue to Pediatric B-Lymphoblastic Leukemia with Rare Circulating Blasts</t>
  </si>
  <si>
    <t xml:space="preserve">Progress</t>
  </si>
  <si>
    <t xml:space="preserve">People to label</t>
  </si>
  <si>
    <t xml:space="preserve">Labelled</t>
  </si>
  <si>
    <t xml:space="preserve">Left to do</t>
  </si>
  <si>
    <t xml:space="preserve">Done</t>
  </si>
  <si>
    <t xml:space="preserve">Labelled but Sure? blank</t>
  </si>
  <si>
    <t xml:space="preserve">Counts update as you fill the Label sheet. The example row is not counted.</t>
  </si>
</sst>
</file>

<file path=xl/styles.xml><?xml version="1.0" encoding="utf-8"?>
<styleSheet xmlns="http://schemas.openxmlformats.org/spreadsheetml/2006/main">
  <numFmts count="3">
    <numFmt numFmtId="164" formatCode="General"/>
    <numFmt numFmtId="165" formatCode="0"/>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16"/>
      <color rgb="FF1F3A4D"/>
      <name val="Arial"/>
      <family val="0"/>
      <charset val="1"/>
    </font>
    <font>
      <i val="true"/>
      <sz val="10"/>
      <color rgb="FF546C78"/>
      <name val="Arial"/>
      <family val="0"/>
      <charset val="1"/>
    </font>
    <font>
      <b val="true"/>
      <sz val="11"/>
      <color rgb="FF1F3A4D"/>
      <name val="Arial"/>
      <family val="0"/>
      <charset val="1"/>
    </font>
    <font>
      <sz val="10"/>
      <color rgb="FF000000"/>
      <name val="Arial"/>
      <family val="0"/>
      <charset val="1"/>
    </font>
    <font>
      <b val="true"/>
      <sz val="12"/>
      <color rgb="FF1F3A4D"/>
      <name val="Arial"/>
      <family val="0"/>
      <charset val="1"/>
    </font>
    <font>
      <i val="true"/>
      <sz val="9"/>
      <color rgb="FF546C78"/>
      <name val="Arial"/>
      <family val="0"/>
      <charset val="1"/>
    </font>
    <font>
      <b val="true"/>
      <sz val="10"/>
      <color rgb="FFFFFFFF"/>
      <name val="Arial"/>
      <family val="0"/>
      <charset val="1"/>
    </font>
    <font>
      <i val="true"/>
      <sz val="9"/>
      <color rgb="FF7F7F7F"/>
      <name val="Arial"/>
      <family val="0"/>
      <charset val="1"/>
    </font>
    <font>
      <u val="single"/>
      <sz val="10"/>
      <color rgb="FF0563C1"/>
      <name val="Arial"/>
      <family val="0"/>
      <charset val="1"/>
    </font>
    <font>
      <b val="true"/>
      <sz val="11"/>
      <color rgb="FF000000"/>
      <name val="Arial"/>
      <family val="0"/>
      <charset val="1"/>
    </font>
    <font>
      <sz val="11"/>
      <color rgb="FF000000"/>
      <name val="Arial"/>
      <family val="0"/>
      <charset val="1"/>
    </font>
    <font>
      <b val="true"/>
      <sz val="12"/>
      <color rgb="FFFFFFFF"/>
      <name val="Arial"/>
      <family val="0"/>
      <charset val="1"/>
    </font>
    <font>
      <b val="true"/>
      <sz val="9"/>
      <color rgb="FF546C78"/>
      <name val="Arial"/>
      <family val="0"/>
      <charset val="1"/>
    </font>
    <font>
      <i val="true"/>
      <sz val="10"/>
      <color rgb="FF000000"/>
      <name val="Arial"/>
      <family val="0"/>
      <charset val="1"/>
    </font>
    <font>
      <b val="true"/>
      <sz val="14"/>
      <color rgb="FF1F3A4D"/>
      <name val="Arial"/>
      <family val="0"/>
      <charset val="1"/>
    </font>
    <font>
      <b val="true"/>
      <sz val="10"/>
      <color rgb="FF000000"/>
      <name val="Arial"/>
      <family val="0"/>
      <charset val="1"/>
    </font>
  </fonts>
  <fills count="6">
    <fill>
      <patternFill patternType="none"/>
    </fill>
    <fill>
      <patternFill patternType="gray125"/>
    </fill>
    <fill>
      <patternFill patternType="solid">
        <fgColor rgb="FF1F3A4D"/>
        <bgColor rgb="FF003366"/>
      </patternFill>
    </fill>
    <fill>
      <patternFill patternType="solid">
        <fgColor rgb="FFF2F2F2"/>
        <bgColor rgb="FFEEF4F8"/>
      </patternFill>
    </fill>
    <fill>
      <patternFill patternType="solid">
        <fgColor rgb="FFFFF2CC"/>
        <bgColor rgb="FFF2F2F2"/>
      </patternFill>
    </fill>
    <fill>
      <patternFill patternType="solid">
        <fgColor rgb="FFEEF4F8"/>
        <bgColor rgb="FFF2F2F2"/>
      </patternFill>
    </fill>
  </fills>
  <borders count="2">
    <border diagonalUp="false" diagonalDown="false">
      <left/>
      <right/>
      <top/>
      <bottom/>
      <diagonal/>
    </border>
    <border diagonalUp="false" diagonalDown="false">
      <left style="thin">
        <color rgb="FFC9D6DF"/>
      </left>
      <right style="thin">
        <color rgb="FFC9D6DF"/>
      </right>
      <top style="thin">
        <color rgb="FFC9D6DF"/>
      </top>
      <bottom style="thin">
        <color rgb="FFC9D6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17" fillId="5"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4D"/>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EEF4F8"/>
      <rgbColor rgb="FF660066"/>
      <rgbColor rgb="FFFF8080"/>
      <rgbColor rgb="FF0563C1"/>
      <rgbColor rgb="FFC9D6D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46C78"/>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42" hidden="false" customHeight="true" outlineLevel="0" collapsed="false">
      <c r="B5" s="3" t="s">
        <v>2</v>
      </c>
      <c r="C5" s="4" t="s">
        <v>3</v>
      </c>
    </row>
    <row r="7" customFormat="false" ht="27.75" hidden="false" customHeight="true" outlineLevel="0" collapsed="false">
      <c r="B7" s="3" t="s">
        <v>4</v>
      </c>
      <c r="C7" s="4" t="s">
        <v>5</v>
      </c>
    </row>
    <row r="9" customFormat="false" ht="111.75" hidden="false" customHeight="true" outlineLevel="0" collapsed="false">
      <c r="B9" s="3" t="s">
        <v>6</v>
      </c>
      <c r="C9" s="4" t="s">
        <v>7</v>
      </c>
    </row>
    <row r="11" customFormat="false" ht="55.5" hidden="false" customHeight="true" outlineLevel="0" collapsed="false">
      <c r="B11" s="3" t="s">
        <v>8</v>
      </c>
      <c r="C11" s="4" t="s">
        <v>9</v>
      </c>
    </row>
    <row r="13" customFormat="false" ht="55.5" hidden="false" customHeight="true" outlineLevel="0" collapsed="false">
      <c r="B13" s="3" t="s">
        <v>10</v>
      </c>
      <c r="C13" s="4" t="s">
        <v>11</v>
      </c>
    </row>
    <row r="15" customFormat="false" ht="42" hidden="false" customHeight="true" outlineLevel="0" collapsed="false">
      <c r="B15" s="3" t="s">
        <v>12</v>
      </c>
      <c r="C15" s="4" t="s">
        <v>13</v>
      </c>
    </row>
    <row r="17" customFormat="false" ht="13.5" hidden="false" customHeight="true" outlineLevel="0" collapsed="false">
      <c r="B17" s="3" t="s">
        <v>14</v>
      </c>
      <c r="C17" s="4" t="s">
        <v>15</v>
      </c>
    </row>
    <row r="19" customFormat="false" ht="84" hidden="false" customHeight="true" outlineLevel="0" collapsed="false">
      <c r="B19" s="3" t="s">
        <v>16</v>
      </c>
      <c r="C19" s="4" t="s">
        <v>17</v>
      </c>
    </row>
    <row r="21" customFormat="false" ht="27.75" hidden="false" customHeight="true" outlineLevel="0" collapsed="false">
      <c r="B21" s="3" t="s">
        <v>18</v>
      </c>
      <c r="C21" s="4" t="s">
        <v>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8"/>
    <col collapsed="false" customWidth="true" hidden="false" outlineLevel="0" max="4" min="4" style="0" width="12"/>
    <col collapsed="false" customWidth="true" hidden="false" outlineLevel="0" max="5" min="5" style="0" width="8"/>
    <col collapsed="false" customWidth="true" hidden="false" outlineLevel="0" max="6" min="6" style="0" width="13"/>
    <col collapsed="false" customWidth="true" hidden="false" outlineLevel="0" max="7" min="7" style="0" width="9"/>
    <col collapsed="false" customWidth="true" hidden="false" outlineLevel="0" max="8" min="8" style="0" width="8"/>
    <col collapsed="false" customWidth="true" hidden="false" outlineLevel="0" max="9" min="9" style="0" width="40"/>
    <col collapsed="false" customWidth="true" hidden="false" outlineLevel="0" max="10" min="10" style="0" width="14"/>
  </cols>
  <sheetData>
    <row r="1" customFormat="false" ht="15" hidden="false" customHeight="false" outlineLevel="0" collapsed="false">
      <c r="A1" s="5" t="s">
        <v>20</v>
      </c>
    </row>
    <row r="2" customFormat="false" ht="15" hidden="false" customHeight="false" outlineLevel="0" collapsed="false">
      <c r="A2" s="6" t="s">
        <v>21</v>
      </c>
    </row>
    <row r="4" customFormat="false" ht="21.75" hidden="false" customHeight="true" outlineLevel="0" collapsed="false">
      <c r="A4" s="7" t="s">
        <v>22</v>
      </c>
      <c r="B4" s="7" t="s">
        <v>23</v>
      </c>
      <c r="C4" s="7" t="s">
        <v>24</v>
      </c>
      <c r="D4" s="7" t="s">
        <v>25</v>
      </c>
      <c r="E4" s="7" t="s">
        <v>26</v>
      </c>
      <c r="F4" s="7" t="s">
        <v>27</v>
      </c>
      <c r="G4" s="7" t="s">
        <v>28</v>
      </c>
      <c r="H4" s="7" t="s">
        <v>29</v>
      </c>
      <c r="I4" s="7" t="s">
        <v>30</v>
      </c>
      <c r="J4" s="7" t="s">
        <v>31</v>
      </c>
    </row>
    <row r="5" customFormat="false" ht="15" hidden="false" customHeight="false" outlineLevel="0" collapsed="false">
      <c r="A5" s="8" t="s">
        <v>32</v>
      </c>
      <c r="B5" s="8" t="s">
        <v>33</v>
      </c>
      <c r="C5" s="8" t="s">
        <v>34</v>
      </c>
      <c r="D5" s="8" t="s">
        <v>35</v>
      </c>
      <c r="E5" s="8" t="n">
        <v>34</v>
      </c>
      <c r="F5" s="8" t="s">
        <v>36</v>
      </c>
      <c r="G5" s="8" t="s">
        <v>37</v>
      </c>
      <c r="H5" s="8" t="n">
        <v>1</v>
      </c>
      <c r="I5" s="8" t="s">
        <v>38</v>
      </c>
      <c r="J5" s="8"/>
    </row>
    <row r="6" customFormat="false" ht="27.75" hidden="false" customHeight="true" outlineLevel="0" collapsed="false">
      <c r="A6" s="9" t="s">
        <v>39</v>
      </c>
      <c r="B6" s="9" t="s">
        <v>40</v>
      </c>
      <c r="C6" s="9" t="s">
        <v>41</v>
      </c>
      <c r="D6" s="9" t="s">
        <v>42</v>
      </c>
      <c r="E6" s="10" t="n">
        <v>25</v>
      </c>
      <c r="F6" s="11" t="str">
        <f aca="false">HYPERLINK("#Records!A1","Read record →")</f>
        <v>Read record →</v>
      </c>
      <c r="G6" s="12"/>
      <c r="H6" s="13"/>
      <c r="I6" s="14"/>
      <c r="J6" s="12"/>
    </row>
    <row r="7" customFormat="false" ht="13.5" hidden="false" customHeight="true" outlineLevel="0" collapsed="false">
      <c r="A7" s="9" t="s">
        <v>43</v>
      </c>
      <c r="B7" s="9" t="s">
        <v>44</v>
      </c>
      <c r="C7" s="9" t="s">
        <v>45</v>
      </c>
      <c r="D7" s="9" t="s">
        <v>46</v>
      </c>
      <c r="E7" s="10" t="n">
        <v>10</v>
      </c>
      <c r="F7" s="11" t="str">
        <f aca="false">HYPERLINK("#Records!A35","Read record →")</f>
        <v>Read record →</v>
      </c>
      <c r="G7" s="12"/>
      <c r="H7" s="13"/>
      <c r="I7" s="14"/>
      <c r="J7" s="12"/>
    </row>
    <row r="8" customFormat="false" ht="13.5" hidden="false" customHeight="true" outlineLevel="0" collapsed="false">
      <c r="A8" s="9" t="s">
        <v>47</v>
      </c>
      <c r="B8" s="9" t="s">
        <v>48</v>
      </c>
      <c r="C8" s="9" t="s">
        <v>49</v>
      </c>
      <c r="D8" s="9" t="s">
        <v>50</v>
      </c>
      <c r="E8" s="10" t="n">
        <v>3</v>
      </c>
      <c r="F8" s="11" t="str">
        <f aca="false">HYPERLINK("#Records!A53","Read record →")</f>
        <v>Read record →</v>
      </c>
      <c r="G8" s="12"/>
      <c r="H8" s="13"/>
      <c r="I8" s="14"/>
      <c r="J8" s="12"/>
    </row>
    <row r="9" customFormat="false" ht="13.5" hidden="false" customHeight="true" outlineLevel="0" collapsed="false">
      <c r="A9" s="9" t="s">
        <v>51</v>
      </c>
      <c r="B9" s="9" t="s">
        <v>52</v>
      </c>
      <c r="C9" s="9" t="s">
        <v>53</v>
      </c>
      <c r="D9" s="9" t="s">
        <v>50</v>
      </c>
      <c r="E9" s="10" t="n">
        <v>0</v>
      </c>
      <c r="F9" s="11" t="str">
        <f aca="false">HYPERLINK("#Records!A64","Read record →")</f>
        <v>Read record →</v>
      </c>
      <c r="G9" s="12"/>
      <c r="H9" s="13"/>
      <c r="I9" s="14"/>
      <c r="J9" s="12"/>
    </row>
    <row r="10" customFormat="false" ht="13.5" hidden="false" customHeight="true" outlineLevel="0" collapsed="false">
      <c r="A10" s="9" t="s">
        <v>54</v>
      </c>
      <c r="B10" s="9" t="s">
        <v>55</v>
      </c>
      <c r="C10" s="9" t="s">
        <v>56</v>
      </c>
      <c r="D10" s="9" t="s">
        <v>50</v>
      </c>
      <c r="E10" s="10" t="n">
        <v>2</v>
      </c>
      <c r="F10" s="11" t="str">
        <f aca="false">HYPERLINK("#Records!A74","Read record →")</f>
        <v>Read record →</v>
      </c>
      <c r="G10" s="12"/>
      <c r="H10" s="13"/>
      <c r="I10" s="14"/>
      <c r="J10" s="12"/>
    </row>
    <row r="11" customFormat="false" ht="13.5" hidden="false" customHeight="true" outlineLevel="0" collapsed="false">
      <c r="A11" s="9" t="s">
        <v>57</v>
      </c>
      <c r="B11" s="9" t="s">
        <v>58</v>
      </c>
      <c r="C11" s="9" t="s">
        <v>59</v>
      </c>
      <c r="D11" s="9" t="s">
        <v>50</v>
      </c>
      <c r="E11" s="10" t="n">
        <v>1</v>
      </c>
      <c r="F11" s="11" t="str">
        <f aca="false">HYPERLINK("#Records!A85","Read record →")</f>
        <v>Read record →</v>
      </c>
      <c r="G11" s="12"/>
      <c r="H11" s="13"/>
      <c r="I11" s="14"/>
      <c r="J11" s="12"/>
    </row>
    <row r="12" customFormat="false" ht="13.5" hidden="false" customHeight="true" outlineLevel="0" collapsed="false">
      <c r="A12" s="9" t="s">
        <v>60</v>
      </c>
      <c r="B12" s="9" t="s">
        <v>61</v>
      </c>
      <c r="C12" s="9" t="s">
        <v>53</v>
      </c>
      <c r="D12" s="9" t="s">
        <v>50</v>
      </c>
      <c r="E12" s="10" t="n">
        <v>34</v>
      </c>
      <c r="F12" s="11" t="str">
        <f aca="false">HYPERLINK("#Records!A94","Read record →")</f>
        <v>Read record →</v>
      </c>
      <c r="G12" s="12"/>
      <c r="H12" s="13"/>
      <c r="I12" s="14"/>
      <c r="J12" s="12"/>
    </row>
    <row r="13" customFormat="false" ht="42" hidden="false" customHeight="true" outlineLevel="0" collapsed="false">
      <c r="A13" s="9" t="s">
        <v>62</v>
      </c>
      <c r="B13" s="9" t="s">
        <v>63</v>
      </c>
      <c r="C13" s="9" t="s">
        <v>64</v>
      </c>
      <c r="D13" s="9" t="s">
        <v>50</v>
      </c>
      <c r="E13" s="10" t="n">
        <v>6</v>
      </c>
      <c r="F13" s="11" t="str">
        <f aca="false">HYPERLINK("#Records!A137","Read record →")</f>
        <v>Read record →</v>
      </c>
      <c r="G13" s="12"/>
      <c r="H13" s="13"/>
      <c r="I13" s="14"/>
      <c r="J13" s="12"/>
    </row>
    <row r="14" customFormat="false" ht="13.5" hidden="false" customHeight="true" outlineLevel="0" collapsed="false">
      <c r="A14" s="9" t="s">
        <v>65</v>
      </c>
      <c r="B14" s="9" t="s">
        <v>66</v>
      </c>
      <c r="C14" s="9" t="s">
        <v>67</v>
      </c>
      <c r="D14" s="9" t="s">
        <v>68</v>
      </c>
      <c r="E14" s="10" t="n">
        <v>0</v>
      </c>
      <c r="F14" s="11" t="str">
        <f aca="false">HYPERLINK("#Records!A152","Read record →")</f>
        <v>Read record →</v>
      </c>
      <c r="G14" s="12"/>
      <c r="H14" s="13"/>
      <c r="I14" s="14"/>
      <c r="J14" s="12"/>
    </row>
    <row r="15" customFormat="false" ht="13.5" hidden="false" customHeight="true" outlineLevel="0" collapsed="false">
      <c r="A15" s="9" t="s">
        <v>69</v>
      </c>
      <c r="B15" s="9" t="s">
        <v>70</v>
      </c>
      <c r="C15" s="9" t="s">
        <v>71</v>
      </c>
      <c r="D15" s="9" t="s">
        <v>72</v>
      </c>
      <c r="E15" s="10" t="n">
        <v>20</v>
      </c>
      <c r="F15" s="11" t="str">
        <f aca="false">HYPERLINK("#Records!A162","Read record →")</f>
        <v>Read record →</v>
      </c>
      <c r="G15" s="12"/>
      <c r="H15" s="13"/>
      <c r="I15" s="14"/>
      <c r="J15" s="12"/>
    </row>
    <row r="16" customFormat="false" ht="13.5" hidden="false" customHeight="true" outlineLevel="0" collapsed="false">
      <c r="A16" s="9" t="s">
        <v>73</v>
      </c>
      <c r="B16" s="9" t="s">
        <v>74</v>
      </c>
      <c r="C16" s="9" t="s">
        <v>75</v>
      </c>
      <c r="D16" s="9" t="s">
        <v>76</v>
      </c>
      <c r="E16" s="10" t="n">
        <v>71</v>
      </c>
      <c r="F16" s="11" t="str">
        <f aca="false">HYPERLINK("#Records!A190","Read record →")</f>
        <v>Read record →</v>
      </c>
      <c r="G16" s="12"/>
      <c r="H16" s="13"/>
      <c r="I16" s="14"/>
      <c r="J16" s="12"/>
    </row>
    <row r="17" customFormat="false" ht="13.5" hidden="false" customHeight="true" outlineLevel="0" collapsed="false">
      <c r="A17" s="9" t="s">
        <v>77</v>
      </c>
      <c r="B17" s="9" t="s">
        <v>78</v>
      </c>
      <c r="C17" s="9" t="s">
        <v>49</v>
      </c>
      <c r="D17" s="9" t="s">
        <v>68</v>
      </c>
      <c r="E17" s="10" t="n">
        <v>1</v>
      </c>
      <c r="F17" s="11" t="str">
        <f aca="false">HYPERLINK("#Records!A260","Read record →")</f>
        <v>Read record →</v>
      </c>
      <c r="G17" s="12"/>
      <c r="H17" s="13"/>
      <c r="I17" s="14"/>
      <c r="J17" s="12"/>
    </row>
    <row r="18" customFormat="false" ht="42" hidden="false" customHeight="true" outlineLevel="0" collapsed="false">
      <c r="A18" s="9" t="s">
        <v>79</v>
      </c>
      <c r="B18" s="9" t="s">
        <v>80</v>
      </c>
      <c r="C18" s="9" t="s">
        <v>81</v>
      </c>
      <c r="D18" s="9" t="s">
        <v>82</v>
      </c>
      <c r="E18" s="10" t="n">
        <v>28</v>
      </c>
      <c r="F18" s="11" t="str">
        <f aca="false">HYPERLINK("#Records!A269","Read record →")</f>
        <v>Read record →</v>
      </c>
      <c r="G18" s="12"/>
      <c r="H18" s="13"/>
      <c r="I18" s="14"/>
      <c r="J18" s="12"/>
    </row>
    <row r="19" customFormat="false" ht="13.5" hidden="false" customHeight="true" outlineLevel="0" collapsed="false">
      <c r="A19" s="9" t="s">
        <v>83</v>
      </c>
      <c r="B19" s="9" t="s">
        <v>84</v>
      </c>
      <c r="C19" s="9" t="s">
        <v>59</v>
      </c>
      <c r="D19" s="9" t="s">
        <v>35</v>
      </c>
      <c r="E19" s="10" t="n">
        <v>21</v>
      </c>
      <c r="F19" s="11" t="str">
        <f aca="false">HYPERLINK("#Records!A306","Read record →")</f>
        <v>Read record →</v>
      </c>
      <c r="G19" s="12"/>
      <c r="H19" s="13"/>
      <c r="I19" s="14"/>
      <c r="J19" s="12"/>
    </row>
    <row r="20" customFormat="false" ht="13.5" hidden="false" customHeight="true" outlineLevel="0" collapsed="false">
      <c r="A20" s="9" t="s">
        <v>85</v>
      </c>
      <c r="B20" s="9" t="s">
        <v>86</v>
      </c>
      <c r="C20" s="9" t="s">
        <v>87</v>
      </c>
      <c r="D20" s="9"/>
      <c r="E20" s="10" t="n">
        <v>11</v>
      </c>
      <c r="F20" s="11" t="str">
        <f aca="false">HYPERLINK("#Records!A335","Read record →")</f>
        <v>Read record →</v>
      </c>
      <c r="G20" s="12"/>
      <c r="H20" s="13"/>
      <c r="I20" s="14"/>
      <c r="J20" s="12"/>
    </row>
    <row r="21" customFormat="false" ht="42" hidden="false" customHeight="true" outlineLevel="0" collapsed="false">
      <c r="A21" s="9" t="s">
        <v>88</v>
      </c>
      <c r="B21" s="9" t="s">
        <v>89</v>
      </c>
      <c r="C21" s="9" t="s">
        <v>90</v>
      </c>
      <c r="D21" s="9" t="s">
        <v>91</v>
      </c>
      <c r="E21" s="10" t="n">
        <v>73</v>
      </c>
      <c r="F21" s="11" t="str">
        <f aca="false">HYPERLINK("#Records!A355","Read record →")</f>
        <v>Read record →</v>
      </c>
      <c r="G21" s="12"/>
      <c r="H21" s="13"/>
      <c r="I21" s="14"/>
      <c r="J21" s="12"/>
    </row>
    <row r="22" customFormat="false" ht="27.75" hidden="false" customHeight="true" outlineLevel="0" collapsed="false">
      <c r="A22" s="9" t="s">
        <v>92</v>
      </c>
      <c r="B22" s="9" t="s">
        <v>93</v>
      </c>
      <c r="C22" s="9" t="s">
        <v>94</v>
      </c>
      <c r="D22" s="9" t="s">
        <v>95</v>
      </c>
      <c r="E22" s="10" t="n">
        <v>34</v>
      </c>
      <c r="F22" s="11" t="str">
        <f aca="false">HYPERLINK("#Records!A425","Read record →")</f>
        <v>Read record →</v>
      </c>
      <c r="G22" s="12"/>
      <c r="H22" s="13"/>
      <c r="I22" s="14"/>
      <c r="J22" s="12"/>
    </row>
    <row r="23" customFormat="false" ht="13.5" hidden="false" customHeight="true" outlineLevel="0" collapsed="false">
      <c r="A23" s="9" t="s">
        <v>96</v>
      </c>
      <c r="B23" s="9" t="s">
        <v>97</v>
      </c>
      <c r="C23" s="9" t="s">
        <v>98</v>
      </c>
      <c r="D23" s="9" t="s">
        <v>50</v>
      </c>
      <c r="E23" s="10" t="n">
        <v>0</v>
      </c>
      <c r="F23" s="11" t="str">
        <f aca="false">HYPERLINK("#Records!A468","Read record →")</f>
        <v>Read record →</v>
      </c>
      <c r="G23" s="12"/>
      <c r="H23" s="13"/>
      <c r="I23" s="14"/>
      <c r="J23" s="12"/>
    </row>
    <row r="24" customFormat="false" ht="27.75" hidden="false" customHeight="true" outlineLevel="0" collapsed="false">
      <c r="A24" s="9" t="s">
        <v>99</v>
      </c>
      <c r="B24" s="9" t="s">
        <v>100</v>
      </c>
      <c r="C24" s="9" t="s">
        <v>101</v>
      </c>
      <c r="D24" s="9" t="s">
        <v>35</v>
      </c>
      <c r="E24" s="10" t="n">
        <v>122</v>
      </c>
      <c r="F24" s="11" t="str">
        <f aca="false">HYPERLINK("#Records!A478","Read record →")</f>
        <v>Read record →</v>
      </c>
      <c r="G24" s="12"/>
      <c r="H24" s="13"/>
      <c r="I24" s="14"/>
      <c r="J24" s="12"/>
    </row>
    <row r="25" customFormat="false" ht="13.5" hidden="false" customHeight="true" outlineLevel="0" collapsed="false">
      <c r="A25" s="9" t="s">
        <v>102</v>
      </c>
      <c r="B25" s="9" t="s">
        <v>103</v>
      </c>
      <c r="C25" s="9" t="s">
        <v>71</v>
      </c>
      <c r="D25" s="9" t="s">
        <v>50</v>
      </c>
      <c r="E25" s="10" t="n">
        <v>1</v>
      </c>
      <c r="F25" s="11" t="str">
        <f aca="false">HYPERLINK("#Records!A548","Read record →")</f>
        <v>Read record →</v>
      </c>
      <c r="G25" s="12"/>
      <c r="H25" s="13"/>
      <c r="I25" s="14"/>
      <c r="J25" s="12"/>
    </row>
    <row r="26" customFormat="false" ht="27.75" hidden="false" customHeight="true" outlineLevel="0" collapsed="false">
      <c r="A26" s="9" t="s">
        <v>104</v>
      </c>
      <c r="B26" s="9" t="s">
        <v>105</v>
      </c>
      <c r="C26" s="9" t="s">
        <v>106</v>
      </c>
      <c r="D26" s="9" t="s">
        <v>107</v>
      </c>
      <c r="E26" s="10" t="n">
        <v>64</v>
      </c>
      <c r="F26" s="11" t="str">
        <f aca="false">HYPERLINK("#Records!A557","Read record →")</f>
        <v>Read record →</v>
      </c>
      <c r="G26" s="12"/>
      <c r="H26" s="13"/>
      <c r="I26" s="14"/>
      <c r="J26" s="12"/>
    </row>
    <row r="27" customFormat="false" ht="13.5" hidden="false" customHeight="true" outlineLevel="0" collapsed="false">
      <c r="A27" s="9" t="s">
        <v>108</v>
      </c>
      <c r="B27" s="9" t="s">
        <v>109</v>
      </c>
      <c r="C27" s="9" t="s">
        <v>49</v>
      </c>
      <c r="D27" s="9" t="s">
        <v>110</v>
      </c>
      <c r="E27" s="10" t="n">
        <v>0</v>
      </c>
      <c r="F27" s="11" t="str">
        <f aca="false">HYPERLINK("#Records!A627","Read record →")</f>
        <v>Read record →</v>
      </c>
      <c r="G27" s="12"/>
      <c r="H27" s="13"/>
      <c r="I27" s="14"/>
      <c r="J27" s="12"/>
    </row>
    <row r="28" customFormat="false" ht="27.75" hidden="false" customHeight="true" outlineLevel="0" collapsed="false">
      <c r="A28" s="9" t="s">
        <v>111</v>
      </c>
      <c r="B28" s="9" t="s">
        <v>112</v>
      </c>
      <c r="C28" s="9" t="s">
        <v>106</v>
      </c>
      <c r="D28" s="9" t="s">
        <v>113</v>
      </c>
      <c r="E28" s="10" t="n">
        <v>3</v>
      </c>
      <c r="F28" s="11" t="str">
        <f aca="false">HYPERLINK("#Records!A637","Read record →")</f>
        <v>Read record →</v>
      </c>
      <c r="G28" s="12"/>
      <c r="H28" s="13"/>
      <c r="I28" s="14"/>
      <c r="J28" s="12"/>
    </row>
    <row r="29" customFormat="false" ht="13.5" hidden="false" customHeight="true" outlineLevel="0" collapsed="false">
      <c r="A29" s="9" t="s">
        <v>114</v>
      </c>
      <c r="B29" s="9" t="s">
        <v>115</v>
      </c>
      <c r="C29" s="9" t="s">
        <v>116</v>
      </c>
      <c r="D29" s="9" t="s">
        <v>50</v>
      </c>
      <c r="E29" s="10" t="n">
        <v>2</v>
      </c>
      <c r="F29" s="11" t="str">
        <f aca="false">HYPERLINK("#Records!A648","Read record →")</f>
        <v>Read record →</v>
      </c>
      <c r="G29" s="12"/>
      <c r="H29" s="13"/>
      <c r="I29" s="14"/>
      <c r="J29" s="12"/>
    </row>
    <row r="30" customFormat="false" ht="13.5" hidden="false" customHeight="true" outlineLevel="0" collapsed="false">
      <c r="A30" s="9" t="s">
        <v>117</v>
      </c>
      <c r="B30" s="9" t="s">
        <v>118</v>
      </c>
      <c r="C30" s="9" t="s">
        <v>59</v>
      </c>
      <c r="D30" s="9" t="s">
        <v>82</v>
      </c>
      <c r="E30" s="10" t="n">
        <v>60</v>
      </c>
      <c r="F30" s="11" t="str">
        <f aca="false">HYPERLINK("#Records!A659","Read record →")</f>
        <v>Read record →</v>
      </c>
      <c r="G30" s="12"/>
      <c r="H30" s="13"/>
      <c r="I30" s="14"/>
      <c r="J30" s="12"/>
    </row>
    <row r="31" customFormat="false" ht="13.5" hidden="false" customHeight="true" outlineLevel="0" collapsed="false">
      <c r="A31" s="9" t="s">
        <v>119</v>
      </c>
      <c r="B31" s="9" t="s">
        <v>120</v>
      </c>
      <c r="C31" s="9" t="s">
        <v>71</v>
      </c>
      <c r="D31" s="9"/>
      <c r="E31" s="10" t="n">
        <v>18</v>
      </c>
      <c r="F31" s="11" t="str">
        <f aca="false">HYPERLINK("#Records!A728","Read record →")</f>
        <v>Read record →</v>
      </c>
      <c r="G31" s="12"/>
      <c r="H31" s="13"/>
      <c r="I31" s="14"/>
      <c r="J31" s="12"/>
    </row>
    <row r="32" customFormat="false" ht="13.5" hidden="false" customHeight="true" outlineLevel="0" collapsed="false">
      <c r="A32" s="9" t="s">
        <v>121</v>
      </c>
      <c r="B32" s="9" t="s">
        <v>122</v>
      </c>
      <c r="C32" s="9" t="s">
        <v>123</v>
      </c>
      <c r="D32" s="9" t="s">
        <v>124</v>
      </c>
      <c r="E32" s="10" t="n">
        <v>7</v>
      </c>
      <c r="F32" s="11" t="str">
        <f aca="false">HYPERLINK("#Records!A754","Read record →")</f>
        <v>Read record →</v>
      </c>
      <c r="G32" s="12"/>
      <c r="H32" s="13"/>
      <c r="I32" s="14"/>
      <c r="J32" s="12"/>
    </row>
    <row r="33" customFormat="false" ht="13.5" hidden="false" customHeight="true" outlineLevel="0" collapsed="false">
      <c r="A33" s="9" t="s">
        <v>125</v>
      </c>
      <c r="B33" s="9" t="s">
        <v>126</v>
      </c>
      <c r="C33" s="9" t="s">
        <v>123</v>
      </c>
      <c r="D33" s="9" t="s">
        <v>127</v>
      </c>
      <c r="E33" s="10" t="n">
        <v>1</v>
      </c>
      <c r="F33" s="11" t="str">
        <f aca="false">HYPERLINK("#Records!A770","Read record →")</f>
        <v>Read record →</v>
      </c>
      <c r="G33" s="12"/>
      <c r="H33" s="13"/>
      <c r="I33" s="14"/>
      <c r="J33" s="12"/>
    </row>
    <row r="34" customFormat="false" ht="13.5" hidden="false" customHeight="true" outlineLevel="0" collapsed="false">
      <c r="A34" s="9" t="s">
        <v>128</v>
      </c>
      <c r="B34" s="9" t="s">
        <v>129</v>
      </c>
      <c r="C34" s="9" t="s">
        <v>59</v>
      </c>
      <c r="D34" s="9"/>
      <c r="E34" s="10" t="n">
        <v>2</v>
      </c>
      <c r="F34" s="11" t="str">
        <f aca="false">HYPERLINK("#Records!A779","Read record →")</f>
        <v>Read record →</v>
      </c>
      <c r="G34" s="12"/>
      <c r="H34" s="13"/>
      <c r="I34" s="14"/>
      <c r="J34" s="12"/>
    </row>
    <row r="35" customFormat="false" ht="13.5" hidden="false" customHeight="true" outlineLevel="0" collapsed="false">
      <c r="A35" s="9" t="s">
        <v>130</v>
      </c>
      <c r="B35" s="9" t="s">
        <v>131</v>
      </c>
      <c r="C35" s="9" t="s">
        <v>132</v>
      </c>
      <c r="D35" s="9" t="s">
        <v>35</v>
      </c>
      <c r="E35" s="10" t="n">
        <v>34</v>
      </c>
      <c r="F35" s="11" t="str">
        <f aca="false">HYPERLINK("#Records!A789","Read record →")</f>
        <v>Read record →</v>
      </c>
      <c r="G35" s="12"/>
      <c r="H35" s="13"/>
      <c r="I35" s="14"/>
      <c r="J35" s="12"/>
    </row>
    <row r="36" customFormat="false" ht="13.5" hidden="false" customHeight="true" outlineLevel="0" collapsed="false">
      <c r="A36" s="9" t="s">
        <v>133</v>
      </c>
      <c r="B36" s="9" t="s">
        <v>134</v>
      </c>
      <c r="C36" s="9" t="s">
        <v>71</v>
      </c>
      <c r="D36" s="9" t="s">
        <v>124</v>
      </c>
      <c r="E36" s="10" t="n">
        <v>6</v>
      </c>
      <c r="F36" s="11" t="str">
        <f aca="false">HYPERLINK("#Records!A831","Read record →")</f>
        <v>Read record →</v>
      </c>
      <c r="G36" s="12"/>
      <c r="H36" s="13"/>
      <c r="I36" s="14"/>
      <c r="J36" s="12"/>
    </row>
    <row r="37" customFormat="false" ht="13.5" hidden="false" customHeight="true" outlineLevel="0" collapsed="false">
      <c r="A37" s="9" t="s">
        <v>135</v>
      </c>
      <c r="B37" s="9" t="s">
        <v>136</v>
      </c>
      <c r="C37" s="9" t="s">
        <v>67</v>
      </c>
      <c r="D37" s="9" t="s">
        <v>137</v>
      </c>
      <c r="E37" s="10" t="n">
        <v>2</v>
      </c>
      <c r="F37" s="11" t="str">
        <f aca="false">HYPERLINK("#Records!A846","Read record →")</f>
        <v>Read record →</v>
      </c>
      <c r="G37" s="12"/>
      <c r="H37" s="13"/>
      <c r="I37" s="14"/>
      <c r="J37" s="12"/>
    </row>
    <row r="38" customFormat="false" ht="13.5" hidden="false" customHeight="true" outlineLevel="0" collapsed="false">
      <c r="A38" s="9" t="s">
        <v>138</v>
      </c>
      <c r="B38" s="9" t="s">
        <v>139</v>
      </c>
      <c r="C38" s="9" t="s">
        <v>53</v>
      </c>
      <c r="D38" s="9" t="s">
        <v>124</v>
      </c>
      <c r="E38" s="10" t="n">
        <v>19</v>
      </c>
      <c r="F38" s="11" t="str">
        <f aca="false">HYPERLINK("#Records!A857","Read record →")</f>
        <v>Read record →</v>
      </c>
      <c r="G38" s="12"/>
      <c r="H38" s="13"/>
      <c r="I38" s="14"/>
      <c r="J38" s="12"/>
    </row>
    <row r="39" customFormat="false" ht="13.5" hidden="false" customHeight="true" outlineLevel="0" collapsed="false">
      <c r="A39" s="9" t="s">
        <v>140</v>
      </c>
      <c r="B39" s="9" t="s">
        <v>141</v>
      </c>
      <c r="C39" s="9" t="s">
        <v>49</v>
      </c>
      <c r="D39" s="9" t="s">
        <v>142</v>
      </c>
      <c r="E39" s="10" t="n">
        <v>2</v>
      </c>
      <c r="F39" s="11" t="str">
        <f aca="false">HYPERLINK("#Records!A885","Read record →")</f>
        <v>Read record →</v>
      </c>
      <c r="G39" s="12"/>
      <c r="H39" s="13"/>
      <c r="I39" s="14"/>
      <c r="J39" s="12"/>
    </row>
    <row r="40" customFormat="false" ht="13.5" hidden="false" customHeight="true" outlineLevel="0" collapsed="false">
      <c r="A40" s="9" t="s">
        <v>143</v>
      </c>
      <c r="B40" s="9" t="s">
        <v>144</v>
      </c>
      <c r="C40" s="9" t="s">
        <v>59</v>
      </c>
      <c r="D40" s="9" t="s">
        <v>145</v>
      </c>
      <c r="E40" s="10" t="n">
        <v>3</v>
      </c>
      <c r="F40" s="11" t="str">
        <f aca="false">HYPERLINK("#Records!A896","Read record →")</f>
        <v>Read record →</v>
      </c>
      <c r="G40" s="12"/>
      <c r="H40" s="13"/>
      <c r="I40" s="14"/>
      <c r="J40" s="12"/>
    </row>
    <row r="41" customFormat="false" ht="13.5" hidden="false" customHeight="true" outlineLevel="0" collapsed="false">
      <c r="A41" s="9" t="s">
        <v>146</v>
      </c>
      <c r="B41" s="9" t="s">
        <v>147</v>
      </c>
      <c r="C41" s="9" t="s">
        <v>98</v>
      </c>
      <c r="D41" s="9" t="s">
        <v>76</v>
      </c>
      <c r="E41" s="10" t="n">
        <v>1</v>
      </c>
      <c r="F41" s="11" t="str">
        <f aca="false">HYPERLINK("#Records!A907","Read record →")</f>
        <v>Read record →</v>
      </c>
      <c r="G41" s="12"/>
      <c r="H41" s="13"/>
      <c r="I41" s="14"/>
      <c r="J41" s="12"/>
    </row>
    <row r="42" customFormat="false" ht="13.5" hidden="false" customHeight="true" outlineLevel="0" collapsed="false">
      <c r="A42" s="9" t="s">
        <v>148</v>
      </c>
      <c r="B42" s="9" t="s">
        <v>149</v>
      </c>
      <c r="C42" s="9" t="s">
        <v>75</v>
      </c>
      <c r="D42" s="9" t="s">
        <v>150</v>
      </c>
      <c r="E42" s="10" t="n">
        <v>4</v>
      </c>
      <c r="F42" s="11" t="str">
        <f aca="false">HYPERLINK("#Records!A916","Read record →")</f>
        <v>Read record →</v>
      </c>
      <c r="G42" s="12"/>
      <c r="H42" s="13"/>
      <c r="I42" s="14"/>
      <c r="J42" s="12"/>
    </row>
    <row r="43" customFormat="false" ht="13.5" hidden="false" customHeight="true" outlineLevel="0" collapsed="false">
      <c r="A43" s="9" t="s">
        <v>151</v>
      </c>
      <c r="B43" s="9" t="s">
        <v>152</v>
      </c>
      <c r="C43" s="9" t="s">
        <v>153</v>
      </c>
      <c r="D43" s="9" t="s">
        <v>154</v>
      </c>
      <c r="E43" s="10" t="n">
        <v>18</v>
      </c>
      <c r="F43" s="11" t="str">
        <f aca="false">HYPERLINK("#Records!A928","Read record →")</f>
        <v>Read record →</v>
      </c>
      <c r="G43" s="12"/>
      <c r="H43" s="13"/>
      <c r="I43" s="14"/>
      <c r="J43" s="12"/>
    </row>
    <row r="44" customFormat="false" ht="13.5" hidden="false" customHeight="true" outlineLevel="0" collapsed="false">
      <c r="A44" s="9" t="s">
        <v>155</v>
      </c>
      <c r="B44" s="9" t="s">
        <v>156</v>
      </c>
      <c r="C44" s="9" t="s">
        <v>157</v>
      </c>
      <c r="D44" s="9"/>
      <c r="E44" s="10" t="n">
        <v>9</v>
      </c>
      <c r="F44" s="11" t="str">
        <f aca="false">HYPERLINK("#Records!A955","Read record →")</f>
        <v>Read record →</v>
      </c>
      <c r="G44" s="12"/>
      <c r="H44" s="13"/>
      <c r="I44" s="14"/>
      <c r="J44" s="12"/>
    </row>
    <row r="45" customFormat="false" ht="27.75" hidden="false" customHeight="true" outlineLevel="0" collapsed="false">
      <c r="A45" s="9" t="s">
        <v>158</v>
      </c>
      <c r="B45" s="9" t="s">
        <v>159</v>
      </c>
      <c r="C45" s="9" t="s">
        <v>160</v>
      </c>
      <c r="D45" s="9" t="s">
        <v>161</v>
      </c>
      <c r="E45" s="10" t="n">
        <v>81</v>
      </c>
      <c r="F45" s="11" t="str">
        <f aca="false">HYPERLINK("#Records!A973","Read record →")</f>
        <v>Read record →</v>
      </c>
      <c r="G45" s="12"/>
      <c r="H45" s="13"/>
      <c r="I45" s="14"/>
      <c r="J45" s="12"/>
    </row>
    <row r="46" customFormat="false" ht="13.5" hidden="false" customHeight="true" outlineLevel="0" collapsed="false">
      <c r="A46" s="9" t="s">
        <v>162</v>
      </c>
      <c r="B46" s="9" t="s">
        <v>163</v>
      </c>
      <c r="C46" s="9" t="s">
        <v>59</v>
      </c>
      <c r="D46" s="9" t="s">
        <v>50</v>
      </c>
      <c r="E46" s="10" t="n">
        <v>1</v>
      </c>
      <c r="F46" s="11" t="str">
        <f aca="false">HYPERLINK("#Records!A1042","Read record →")</f>
        <v>Read record →</v>
      </c>
      <c r="G46" s="12"/>
      <c r="H46" s="13"/>
      <c r="I46" s="14"/>
      <c r="J46" s="12"/>
    </row>
    <row r="47" customFormat="false" ht="13.5" hidden="false" customHeight="true" outlineLevel="0" collapsed="false">
      <c r="A47" s="9" t="s">
        <v>164</v>
      </c>
      <c r="B47" s="9" t="s">
        <v>165</v>
      </c>
      <c r="C47" s="9" t="s">
        <v>157</v>
      </c>
      <c r="D47" s="9"/>
      <c r="E47" s="10" t="n">
        <v>0</v>
      </c>
      <c r="F47" s="11" t="str">
        <f aca="false">HYPERLINK("#Records!A1051","Read record →")</f>
        <v>Read record →</v>
      </c>
      <c r="G47" s="12"/>
      <c r="H47" s="13"/>
      <c r="I47" s="14"/>
      <c r="J47" s="12"/>
    </row>
    <row r="48" customFormat="false" ht="42" hidden="false" customHeight="true" outlineLevel="0" collapsed="false">
      <c r="A48" s="9" t="s">
        <v>166</v>
      </c>
      <c r="B48" s="9" t="s">
        <v>167</v>
      </c>
      <c r="C48" s="9" t="s">
        <v>168</v>
      </c>
      <c r="D48" s="9" t="s">
        <v>169</v>
      </c>
      <c r="E48" s="10" t="n">
        <v>10</v>
      </c>
      <c r="F48" s="11" t="str">
        <f aca="false">HYPERLINK("#Records!A1061","Read record →")</f>
        <v>Read record →</v>
      </c>
      <c r="G48" s="12"/>
      <c r="H48" s="13"/>
      <c r="I48" s="14"/>
      <c r="J48" s="12"/>
    </row>
    <row r="49" customFormat="false" ht="13.5" hidden="false" customHeight="true" outlineLevel="0" collapsed="false">
      <c r="A49" s="9" t="s">
        <v>170</v>
      </c>
      <c r="B49" s="9" t="s">
        <v>171</v>
      </c>
      <c r="C49" s="9" t="s">
        <v>172</v>
      </c>
      <c r="D49" s="9" t="s">
        <v>173</v>
      </c>
      <c r="E49" s="10" t="n">
        <v>34</v>
      </c>
      <c r="F49" s="11" t="str">
        <f aca="false">HYPERLINK("#Records!A1080","Read record →")</f>
        <v>Read record →</v>
      </c>
      <c r="G49" s="12"/>
      <c r="H49" s="13"/>
      <c r="I49" s="14"/>
      <c r="J49" s="12"/>
    </row>
    <row r="50" customFormat="false" ht="13.5" hidden="false" customHeight="true" outlineLevel="0" collapsed="false">
      <c r="A50" s="9" t="s">
        <v>174</v>
      </c>
      <c r="B50" s="9" t="s">
        <v>175</v>
      </c>
      <c r="C50" s="9" t="s">
        <v>176</v>
      </c>
      <c r="D50" s="9" t="s">
        <v>145</v>
      </c>
      <c r="E50" s="10" t="n">
        <v>11</v>
      </c>
      <c r="F50" s="11" t="str">
        <f aca="false">HYPERLINK("#Records!A1122","Read record →")</f>
        <v>Read record →</v>
      </c>
      <c r="G50" s="12"/>
      <c r="H50" s="13"/>
      <c r="I50" s="14"/>
      <c r="J50" s="12"/>
    </row>
    <row r="51" customFormat="false" ht="27.75" hidden="false" customHeight="true" outlineLevel="0" collapsed="false">
      <c r="A51" s="9" t="s">
        <v>177</v>
      </c>
      <c r="B51" s="9" t="s">
        <v>178</v>
      </c>
      <c r="C51" s="9" t="s">
        <v>179</v>
      </c>
      <c r="D51" s="9" t="s">
        <v>35</v>
      </c>
      <c r="E51" s="10" t="n">
        <v>5</v>
      </c>
      <c r="F51" s="11" t="str">
        <f aca="false">HYPERLINK("#Records!A1142","Read record →")</f>
        <v>Read record →</v>
      </c>
      <c r="G51" s="12"/>
      <c r="H51" s="13"/>
      <c r="I51" s="14"/>
      <c r="J51" s="12"/>
    </row>
    <row r="52" customFormat="false" ht="13.5" hidden="false" customHeight="true" outlineLevel="0" collapsed="false">
      <c r="A52" s="9" t="s">
        <v>180</v>
      </c>
      <c r="B52" s="9" t="s">
        <v>181</v>
      </c>
      <c r="C52" s="9" t="s">
        <v>123</v>
      </c>
      <c r="D52" s="9" t="s">
        <v>50</v>
      </c>
      <c r="E52" s="10" t="n">
        <v>5</v>
      </c>
      <c r="F52" s="11" t="str">
        <f aca="false">HYPERLINK("#Records!A1156","Read record →")</f>
        <v>Read record →</v>
      </c>
      <c r="G52" s="12"/>
      <c r="H52" s="13"/>
      <c r="I52" s="14"/>
      <c r="J52" s="12"/>
    </row>
    <row r="53" customFormat="false" ht="13.5" hidden="false" customHeight="true" outlineLevel="0" collapsed="false">
      <c r="A53" s="9" t="s">
        <v>182</v>
      </c>
      <c r="B53" s="9" t="s">
        <v>183</v>
      </c>
      <c r="C53" s="9" t="s">
        <v>75</v>
      </c>
      <c r="D53" s="9" t="s">
        <v>35</v>
      </c>
      <c r="E53" s="10" t="n">
        <v>1</v>
      </c>
      <c r="F53" s="11" t="str">
        <f aca="false">HYPERLINK("#Records!A1169","Read record →")</f>
        <v>Read record →</v>
      </c>
      <c r="G53" s="12"/>
      <c r="H53" s="13"/>
      <c r="I53" s="14"/>
      <c r="J53" s="12"/>
    </row>
    <row r="54" customFormat="false" ht="13.5" hidden="false" customHeight="true" outlineLevel="0" collapsed="false">
      <c r="A54" s="9" t="s">
        <v>184</v>
      </c>
      <c r="B54" s="9" t="s">
        <v>185</v>
      </c>
      <c r="C54" s="9" t="s">
        <v>123</v>
      </c>
      <c r="D54" s="9" t="s">
        <v>145</v>
      </c>
      <c r="E54" s="10" t="n">
        <v>0</v>
      </c>
      <c r="F54" s="11" t="str">
        <f aca="false">HYPERLINK("#Records!A1179","Read record →")</f>
        <v>Read record →</v>
      </c>
      <c r="G54" s="12"/>
      <c r="H54" s="13"/>
      <c r="I54" s="14"/>
      <c r="J54" s="12"/>
    </row>
    <row r="55" customFormat="false" ht="42" hidden="false" customHeight="true" outlineLevel="0" collapsed="false">
      <c r="A55" s="9" t="s">
        <v>186</v>
      </c>
      <c r="B55" s="9" t="s">
        <v>187</v>
      </c>
      <c r="C55" s="9" t="s">
        <v>188</v>
      </c>
      <c r="D55" s="9" t="s">
        <v>95</v>
      </c>
      <c r="E55" s="10" t="n">
        <v>81</v>
      </c>
      <c r="F55" s="11" t="str">
        <f aca="false">HYPERLINK("#Records!A1189","Read record →")</f>
        <v>Read record →</v>
      </c>
      <c r="G55" s="12"/>
      <c r="H55" s="13"/>
      <c r="I55" s="14"/>
      <c r="J55" s="12"/>
    </row>
    <row r="56" customFormat="false" ht="13.5" hidden="false" customHeight="true" outlineLevel="0" collapsed="false">
      <c r="A56" s="9" t="s">
        <v>189</v>
      </c>
      <c r="B56" s="9" t="s">
        <v>190</v>
      </c>
      <c r="C56" s="9" t="s">
        <v>49</v>
      </c>
      <c r="D56" s="9" t="s">
        <v>35</v>
      </c>
      <c r="E56" s="10" t="n">
        <v>7</v>
      </c>
      <c r="F56" s="11" t="str">
        <f aca="false">HYPERLINK("#Records!A1259","Read record →")</f>
        <v>Read record →</v>
      </c>
      <c r="G56" s="12"/>
      <c r="H56" s="13"/>
      <c r="I56" s="14"/>
      <c r="J56" s="12"/>
    </row>
    <row r="57" customFormat="false" ht="13.5" hidden="false" customHeight="true" outlineLevel="0" collapsed="false">
      <c r="A57" s="9" t="s">
        <v>191</v>
      </c>
      <c r="B57" s="9" t="s">
        <v>192</v>
      </c>
      <c r="C57" s="9" t="s">
        <v>45</v>
      </c>
      <c r="D57" s="9" t="s">
        <v>145</v>
      </c>
      <c r="E57" s="10" t="n">
        <v>25</v>
      </c>
      <c r="F57" s="11" t="str">
        <f aca="false">HYPERLINK("#Records!A1274","Read record →")</f>
        <v>Read record →</v>
      </c>
      <c r="G57" s="12"/>
      <c r="H57" s="13"/>
      <c r="I57" s="14"/>
      <c r="J57" s="12"/>
    </row>
    <row r="58" customFormat="false" ht="13.5" hidden="false" customHeight="true" outlineLevel="0" collapsed="false">
      <c r="A58" s="9" t="s">
        <v>193</v>
      </c>
      <c r="B58" s="9" t="s">
        <v>194</v>
      </c>
      <c r="C58" s="9" t="s">
        <v>98</v>
      </c>
      <c r="D58" s="9" t="s">
        <v>50</v>
      </c>
      <c r="E58" s="10" t="n">
        <v>3</v>
      </c>
      <c r="F58" s="11" t="str">
        <f aca="false">HYPERLINK("#Records!A1308","Read record →")</f>
        <v>Read record →</v>
      </c>
      <c r="G58" s="12"/>
      <c r="H58" s="13"/>
      <c r="I58" s="14"/>
      <c r="J58" s="12"/>
    </row>
    <row r="59" customFormat="false" ht="13.5" hidden="false" customHeight="true" outlineLevel="0" collapsed="false">
      <c r="A59" s="9" t="s">
        <v>195</v>
      </c>
      <c r="B59" s="9" t="s">
        <v>196</v>
      </c>
      <c r="C59" s="9" t="s">
        <v>53</v>
      </c>
      <c r="D59" s="9" t="s">
        <v>50</v>
      </c>
      <c r="E59" s="10" t="n">
        <v>7</v>
      </c>
      <c r="F59" s="11" t="str">
        <f aca="false">HYPERLINK("#Records!A1319","Read record →")</f>
        <v>Read record →</v>
      </c>
      <c r="G59" s="12"/>
      <c r="H59" s="13"/>
      <c r="I59" s="14"/>
      <c r="J59" s="12"/>
    </row>
    <row r="60" customFormat="false" ht="13.5" hidden="false" customHeight="true" outlineLevel="0" collapsed="false">
      <c r="A60" s="9" t="s">
        <v>197</v>
      </c>
      <c r="B60" s="9" t="s">
        <v>198</v>
      </c>
      <c r="C60" s="9" t="s">
        <v>49</v>
      </c>
      <c r="D60" s="9" t="s">
        <v>50</v>
      </c>
      <c r="E60" s="10" t="n">
        <v>1</v>
      </c>
      <c r="F60" s="11" t="str">
        <f aca="false">HYPERLINK("#Records!A1335","Read record →")</f>
        <v>Read record →</v>
      </c>
      <c r="G60" s="12"/>
      <c r="H60" s="13"/>
      <c r="I60" s="14"/>
      <c r="J60" s="12"/>
    </row>
    <row r="61" customFormat="false" ht="13.5" hidden="false" customHeight="true" outlineLevel="0" collapsed="false">
      <c r="A61" s="9" t="s">
        <v>199</v>
      </c>
      <c r="B61" s="9" t="s">
        <v>200</v>
      </c>
      <c r="C61" s="9" t="s">
        <v>201</v>
      </c>
      <c r="D61" s="9"/>
      <c r="E61" s="10" t="n">
        <v>1</v>
      </c>
      <c r="F61" s="11" t="str">
        <f aca="false">HYPERLINK("#Records!A1345","Read record →")</f>
        <v>Read record →</v>
      </c>
      <c r="G61" s="12"/>
      <c r="H61" s="13"/>
      <c r="I61" s="14"/>
      <c r="J61" s="12"/>
    </row>
    <row r="62" customFormat="false" ht="13.5" hidden="false" customHeight="true" outlineLevel="0" collapsed="false">
      <c r="A62" s="9" t="s">
        <v>202</v>
      </c>
      <c r="B62" s="9" t="s">
        <v>203</v>
      </c>
      <c r="C62" s="9" t="s">
        <v>204</v>
      </c>
      <c r="D62" s="9"/>
      <c r="E62" s="10" t="n">
        <v>0</v>
      </c>
      <c r="F62" s="11" t="str">
        <f aca="false">HYPERLINK("#Records!A1354","Read record →")</f>
        <v>Read record →</v>
      </c>
      <c r="G62" s="12"/>
      <c r="H62" s="13"/>
      <c r="I62" s="14"/>
      <c r="J62" s="12"/>
    </row>
    <row r="63" customFormat="false" ht="42" hidden="false" customHeight="true" outlineLevel="0" collapsed="false">
      <c r="A63" s="9" t="s">
        <v>205</v>
      </c>
      <c r="B63" s="9" t="s">
        <v>206</v>
      </c>
      <c r="C63" s="9" t="s">
        <v>207</v>
      </c>
      <c r="D63" s="9" t="s">
        <v>208</v>
      </c>
      <c r="E63" s="10" t="n">
        <v>0</v>
      </c>
      <c r="F63" s="11" t="str">
        <f aca="false">HYPERLINK("#Records!A1364","Read record →")</f>
        <v>Read record →</v>
      </c>
      <c r="G63" s="12"/>
      <c r="H63" s="13"/>
      <c r="I63" s="14"/>
      <c r="J63" s="12"/>
    </row>
    <row r="64" customFormat="false" ht="13.5" hidden="false" customHeight="true" outlineLevel="0" collapsed="false">
      <c r="A64" s="9" t="s">
        <v>209</v>
      </c>
      <c r="B64" s="9" t="s">
        <v>210</v>
      </c>
      <c r="C64" s="9" t="s">
        <v>59</v>
      </c>
      <c r="D64" s="9"/>
      <c r="E64" s="10" t="n">
        <v>1</v>
      </c>
      <c r="F64" s="11" t="str">
        <f aca="false">HYPERLINK("#Records!A1374","Read record →")</f>
        <v>Read record →</v>
      </c>
      <c r="G64" s="12"/>
      <c r="H64" s="13"/>
      <c r="I64" s="14"/>
      <c r="J64" s="12"/>
    </row>
    <row r="65" customFormat="false" ht="13.5" hidden="false" customHeight="true" outlineLevel="0" collapsed="false">
      <c r="A65" s="9" t="s">
        <v>211</v>
      </c>
      <c r="B65" s="9" t="s">
        <v>212</v>
      </c>
      <c r="C65" s="9" t="s">
        <v>213</v>
      </c>
      <c r="D65" s="9"/>
      <c r="E65" s="10" t="n">
        <v>16</v>
      </c>
      <c r="F65" s="11" t="str">
        <f aca="false">HYPERLINK("#Records!A1384","Read record →")</f>
        <v>Read record →</v>
      </c>
      <c r="G65" s="12"/>
      <c r="H65" s="13"/>
      <c r="I65" s="14"/>
      <c r="J65" s="12"/>
    </row>
    <row r="66" customFormat="false" ht="42" hidden="false" customHeight="true" outlineLevel="0" collapsed="false">
      <c r="A66" s="9" t="s">
        <v>214</v>
      </c>
      <c r="B66" s="9" t="s">
        <v>215</v>
      </c>
      <c r="C66" s="9" t="s">
        <v>216</v>
      </c>
      <c r="D66" s="9" t="s">
        <v>217</v>
      </c>
      <c r="E66" s="10" t="n">
        <v>5</v>
      </c>
      <c r="F66" s="11" t="str">
        <f aca="false">HYPERLINK("#Records!A1408","Read record →")</f>
        <v>Read record →</v>
      </c>
      <c r="G66" s="12"/>
      <c r="H66" s="13"/>
      <c r="I66" s="14"/>
      <c r="J66" s="12"/>
    </row>
    <row r="67" customFormat="false" ht="13.5" hidden="false" customHeight="true" outlineLevel="0" collapsed="false">
      <c r="A67" s="9" t="s">
        <v>218</v>
      </c>
      <c r="B67" s="9" t="s">
        <v>219</v>
      </c>
      <c r="C67" s="9" t="s">
        <v>220</v>
      </c>
      <c r="D67" s="9" t="s">
        <v>221</v>
      </c>
      <c r="E67" s="10" t="n">
        <v>0</v>
      </c>
      <c r="F67" s="11" t="str">
        <f aca="false">HYPERLINK("#Records!A1422","Read record →")</f>
        <v>Read record →</v>
      </c>
      <c r="G67" s="12"/>
      <c r="H67" s="13"/>
      <c r="I67" s="14"/>
      <c r="J67" s="12"/>
    </row>
    <row r="68" customFormat="false" ht="13.5" hidden="false" customHeight="true" outlineLevel="0" collapsed="false">
      <c r="A68" s="9" t="s">
        <v>222</v>
      </c>
      <c r="B68" s="9" t="s">
        <v>223</v>
      </c>
      <c r="C68" s="9" t="s">
        <v>49</v>
      </c>
      <c r="D68" s="9" t="s">
        <v>145</v>
      </c>
      <c r="E68" s="10" t="n">
        <v>2</v>
      </c>
      <c r="F68" s="11" t="str">
        <f aca="false">HYPERLINK("#Records!A1432","Read record →")</f>
        <v>Read record →</v>
      </c>
      <c r="G68" s="12"/>
      <c r="H68" s="13"/>
      <c r="I68" s="14"/>
      <c r="J68" s="12"/>
    </row>
    <row r="69" customFormat="false" ht="42" hidden="false" customHeight="true" outlineLevel="0" collapsed="false">
      <c r="A69" s="9" t="s">
        <v>224</v>
      </c>
      <c r="B69" s="9" t="s">
        <v>225</v>
      </c>
      <c r="C69" s="9" t="s">
        <v>226</v>
      </c>
      <c r="D69" s="9" t="s">
        <v>35</v>
      </c>
      <c r="E69" s="10" t="n">
        <v>18</v>
      </c>
      <c r="F69" s="11" t="str">
        <f aca="false">HYPERLINK("#Records!A1443","Read record →")</f>
        <v>Read record →</v>
      </c>
      <c r="G69" s="12"/>
      <c r="H69" s="13"/>
      <c r="I69" s="14"/>
      <c r="J69" s="12"/>
    </row>
    <row r="70" customFormat="false" ht="13.5" hidden="false" customHeight="true" outlineLevel="0" collapsed="false">
      <c r="A70" s="9" t="s">
        <v>227</v>
      </c>
      <c r="B70" s="9" t="s">
        <v>228</v>
      </c>
      <c r="C70" s="9" t="s">
        <v>59</v>
      </c>
      <c r="D70" s="9" t="s">
        <v>50</v>
      </c>
      <c r="E70" s="10" t="n">
        <v>1</v>
      </c>
      <c r="F70" s="11" t="str">
        <f aca="false">HYPERLINK("#Records!A1470","Read record →")</f>
        <v>Read record →</v>
      </c>
      <c r="G70" s="12"/>
      <c r="H70" s="13"/>
      <c r="I70" s="14"/>
      <c r="J70" s="12"/>
    </row>
    <row r="71" customFormat="false" ht="13.5" hidden="false" customHeight="true" outlineLevel="0" collapsed="false">
      <c r="A71" s="9" t="s">
        <v>229</v>
      </c>
      <c r="B71" s="9" t="s">
        <v>230</v>
      </c>
      <c r="C71" s="9" t="s">
        <v>71</v>
      </c>
      <c r="D71" s="9" t="s">
        <v>35</v>
      </c>
      <c r="E71" s="10" t="n">
        <v>11</v>
      </c>
      <c r="F71" s="11" t="str">
        <f aca="false">HYPERLINK("#Records!A1479","Read record →")</f>
        <v>Read record →</v>
      </c>
      <c r="G71" s="12"/>
      <c r="H71" s="13"/>
      <c r="I71" s="14"/>
      <c r="J71" s="12"/>
    </row>
    <row r="72" customFormat="false" ht="27.75" hidden="false" customHeight="true" outlineLevel="0" collapsed="false">
      <c r="A72" s="9" t="s">
        <v>231</v>
      </c>
      <c r="B72" s="9" t="s">
        <v>232</v>
      </c>
      <c r="C72" s="9" t="s">
        <v>233</v>
      </c>
      <c r="D72" s="9" t="s">
        <v>234</v>
      </c>
      <c r="E72" s="10" t="n">
        <v>61</v>
      </c>
      <c r="F72" s="11" t="str">
        <f aca="false">HYPERLINK("#Records!A1498","Read record →")</f>
        <v>Read record →</v>
      </c>
      <c r="G72" s="12"/>
      <c r="H72" s="13"/>
      <c r="I72" s="14"/>
      <c r="J72" s="12"/>
    </row>
    <row r="73" customFormat="false" ht="42" hidden="false" customHeight="true" outlineLevel="0" collapsed="false">
      <c r="A73" s="9" t="s">
        <v>235</v>
      </c>
      <c r="B73" s="9" t="s">
        <v>236</v>
      </c>
      <c r="C73" s="9" t="s">
        <v>237</v>
      </c>
      <c r="D73" s="9" t="s">
        <v>154</v>
      </c>
      <c r="E73" s="10" t="n">
        <v>0</v>
      </c>
      <c r="F73" s="11" t="str">
        <f aca="false">HYPERLINK("#Records!A1568","Read record →")</f>
        <v>Read record →</v>
      </c>
      <c r="G73" s="12"/>
      <c r="H73" s="13"/>
      <c r="I73" s="14"/>
      <c r="J73" s="12"/>
    </row>
    <row r="74" customFormat="false" ht="13.5" hidden="false" customHeight="true" outlineLevel="0" collapsed="false">
      <c r="A74" s="9" t="s">
        <v>238</v>
      </c>
      <c r="B74" s="9" t="s">
        <v>239</v>
      </c>
      <c r="C74" s="9" t="s">
        <v>240</v>
      </c>
      <c r="D74" s="9" t="s">
        <v>50</v>
      </c>
      <c r="E74" s="10" t="n">
        <v>2</v>
      </c>
      <c r="F74" s="11" t="str">
        <f aca="false">HYPERLINK("#Records!A1578","Read record →")</f>
        <v>Read record →</v>
      </c>
      <c r="G74" s="12"/>
      <c r="H74" s="13"/>
      <c r="I74" s="14"/>
      <c r="J74" s="12"/>
    </row>
    <row r="75" customFormat="false" ht="13.5" hidden="false" customHeight="true" outlineLevel="0" collapsed="false">
      <c r="A75" s="9" t="s">
        <v>241</v>
      </c>
      <c r="B75" s="9" t="s">
        <v>242</v>
      </c>
      <c r="C75" s="9" t="s">
        <v>71</v>
      </c>
      <c r="D75" s="9"/>
      <c r="E75" s="10" t="n">
        <v>7</v>
      </c>
      <c r="F75" s="11" t="str">
        <f aca="false">HYPERLINK("#Records!A1589","Read record →")</f>
        <v>Read record →</v>
      </c>
      <c r="G75" s="12"/>
      <c r="H75" s="13"/>
      <c r="I75" s="14"/>
      <c r="J75" s="12"/>
    </row>
    <row r="76" customFormat="false" ht="13.5" hidden="false" customHeight="true" outlineLevel="0" collapsed="false">
      <c r="A76" s="9" t="s">
        <v>243</v>
      </c>
      <c r="B76" s="9" t="s">
        <v>244</v>
      </c>
      <c r="C76" s="9" t="s">
        <v>59</v>
      </c>
      <c r="D76" s="9"/>
      <c r="E76" s="10" t="n">
        <v>2</v>
      </c>
      <c r="F76" s="11" t="str">
        <f aca="false">HYPERLINK("#Records!A1604","Read record →")</f>
        <v>Read record →</v>
      </c>
      <c r="G76" s="12"/>
      <c r="H76" s="13"/>
      <c r="I76" s="14"/>
      <c r="J76" s="12"/>
    </row>
    <row r="77" customFormat="false" ht="13.5" hidden="false" customHeight="true" outlineLevel="0" collapsed="false">
      <c r="A77" s="9" t="s">
        <v>245</v>
      </c>
      <c r="B77" s="9" t="s">
        <v>246</v>
      </c>
      <c r="C77" s="9" t="s">
        <v>49</v>
      </c>
      <c r="D77" s="9" t="s">
        <v>50</v>
      </c>
      <c r="E77" s="10" t="n">
        <v>51</v>
      </c>
      <c r="F77" s="11" t="str">
        <f aca="false">HYPERLINK("#Records!A1615","Read record →")</f>
        <v>Read record →</v>
      </c>
      <c r="G77" s="12"/>
      <c r="H77" s="13"/>
      <c r="I77" s="14"/>
      <c r="J77" s="12"/>
    </row>
    <row r="78" customFormat="false" ht="13.5" hidden="false" customHeight="true" outlineLevel="0" collapsed="false">
      <c r="A78" s="9" t="s">
        <v>247</v>
      </c>
      <c r="B78" s="9" t="s">
        <v>248</v>
      </c>
      <c r="C78" s="9" t="s">
        <v>240</v>
      </c>
      <c r="D78" s="9" t="s">
        <v>50</v>
      </c>
      <c r="E78" s="10" t="n">
        <v>37</v>
      </c>
      <c r="F78" s="11" t="str">
        <f aca="false">HYPERLINK("#Records!A1674","Read record →")</f>
        <v>Read record →</v>
      </c>
      <c r="G78" s="12"/>
      <c r="H78" s="13"/>
      <c r="I78" s="14"/>
      <c r="J78" s="12"/>
    </row>
    <row r="79" customFormat="false" ht="42" hidden="false" customHeight="true" outlineLevel="0" collapsed="false">
      <c r="A79" s="9" t="s">
        <v>249</v>
      </c>
      <c r="B79" s="9" t="s">
        <v>250</v>
      </c>
      <c r="C79" s="9" t="s">
        <v>251</v>
      </c>
      <c r="D79" s="9" t="s">
        <v>145</v>
      </c>
      <c r="E79" s="10" t="n">
        <v>10</v>
      </c>
      <c r="F79" s="11" t="str">
        <f aca="false">HYPERLINK("#Records!A1720","Read record →")</f>
        <v>Read record →</v>
      </c>
      <c r="G79" s="12"/>
      <c r="H79" s="13"/>
      <c r="I79" s="14"/>
      <c r="J79" s="12"/>
    </row>
    <row r="80" customFormat="false" ht="13.5" hidden="false" customHeight="true" outlineLevel="0" collapsed="false">
      <c r="A80" s="9" t="s">
        <v>252</v>
      </c>
      <c r="B80" s="9" t="s">
        <v>253</v>
      </c>
      <c r="C80" s="9" t="s">
        <v>201</v>
      </c>
      <c r="D80" s="9" t="s">
        <v>254</v>
      </c>
      <c r="E80" s="10" t="n">
        <v>1</v>
      </c>
      <c r="F80" s="11" t="str">
        <f aca="false">HYPERLINK("#Records!A1739","Read record →")</f>
        <v>Read record →</v>
      </c>
      <c r="G80" s="12"/>
      <c r="H80" s="13"/>
      <c r="I80" s="14"/>
      <c r="J80" s="12"/>
    </row>
    <row r="81" customFormat="false" ht="13.5" hidden="false" customHeight="true" outlineLevel="0" collapsed="false">
      <c r="A81" s="9" t="s">
        <v>255</v>
      </c>
      <c r="B81" s="9" t="s">
        <v>256</v>
      </c>
      <c r="C81" s="9" t="s">
        <v>153</v>
      </c>
      <c r="D81" s="9" t="s">
        <v>50</v>
      </c>
      <c r="E81" s="10" t="n">
        <v>8</v>
      </c>
      <c r="F81" s="11" t="str">
        <f aca="false">HYPERLINK("#Records!A1749","Read record →")</f>
        <v>Read record →</v>
      </c>
      <c r="G81" s="12"/>
      <c r="H81" s="13"/>
      <c r="I81" s="14"/>
      <c r="J81" s="12"/>
    </row>
    <row r="82" customFormat="false" ht="13.5" hidden="false" customHeight="true" outlineLevel="0" collapsed="false">
      <c r="A82" s="9" t="s">
        <v>257</v>
      </c>
      <c r="B82" s="9" t="s">
        <v>258</v>
      </c>
      <c r="C82" s="9" t="s">
        <v>259</v>
      </c>
      <c r="D82" s="9" t="s">
        <v>124</v>
      </c>
      <c r="E82" s="10" t="n">
        <v>17</v>
      </c>
      <c r="F82" s="11" t="str">
        <f aca="false">HYPERLINK("#Records!A1765","Read record →")</f>
        <v>Read record →</v>
      </c>
      <c r="G82" s="12"/>
      <c r="H82" s="13"/>
      <c r="I82" s="14"/>
      <c r="J82" s="12"/>
    </row>
    <row r="83" customFormat="false" ht="13.5" hidden="false" customHeight="true" outlineLevel="0" collapsed="false">
      <c r="A83" s="9" t="s">
        <v>260</v>
      </c>
      <c r="B83" s="9" t="s">
        <v>261</v>
      </c>
      <c r="C83" s="9" t="s">
        <v>262</v>
      </c>
      <c r="D83" s="9"/>
      <c r="E83" s="10" t="n">
        <v>15</v>
      </c>
      <c r="F83" s="11" t="str">
        <f aca="false">HYPERLINK("#Records!A1790","Read record →")</f>
        <v>Read record →</v>
      </c>
      <c r="G83" s="12"/>
      <c r="H83" s="13"/>
      <c r="I83" s="14"/>
      <c r="J83" s="12"/>
    </row>
    <row r="84" customFormat="false" ht="13.5" hidden="false" customHeight="true" outlineLevel="0" collapsed="false">
      <c r="A84" s="9" t="s">
        <v>263</v>
      </c>
      <c r="B84" s="9" t="s">
        <v>264</v>
      </c>
      <c r="C84" s="9" t="s">
        <v>106</v>
      </c>
      <c r="D84" s="9" t="s">
        <v>35</v>
      </c>
      <c r="E84" s="10" t="n">
        <v>19</v>
      </c>
      <c r="F84" s="11" t="str">
        <f aca="false">HYPERLINK("#Records!A1814","Read record →")</f>
        <v>Read record →</v>
      </c>
      <c r="G84" s="12"/>
      <c r="H84" s="13"/>
      <c r="I84" s="14"/>
      <c r="J84" s="12"/>
    </row>
    <row r="85" customFormat="false" ht="13.5" hidden="false" customHeight="true" outlineLevel="0" collapsed="false">
      <c r="A85" s="9" t="s">
        <v>265</v>
      </c>
      <c r="B85" s="9" t="s">
        <v>266</v>
      </c>
      <c r="C85" s="9" t="s">
        <v>267</v>
      </c>
      <c r="D85" s="9" t="s">
        <v>82</v>
      </c>
      <c r="E85" s="10" t="n">
        <v>0</v>
      </c>
      <c r="F85" s="11" t="str">
        <f aca="false">HYPERLINK("#Records!A1841","Read record →")</f>
        <v>Read record →</v>
      </c>
      <c r="G85" s="12"/>
      <c r="H85" s="13"/>
      <c r="I85" s="14"/>
      <c r="J85" s="12"/>
    </row>
    <row r="86" customFormat="false" ht="27.75" hidden="false" customHeight="true" outlineLevel="0" collapsed="false">
      <c r="A86" s="9" t="s">
        <v>268</v>
      </c>
      <c r="B86" s="9" t="s">
        <v>269</v>
      </c>
      <c r="C86" s="9" t="s">
        <v>270</v>
      </c>
      <c r="D86" s="9" t="s">
        <v>145</v>
      </c>
      <c r="E86" s="10" t="n">
        <v>1</v>
      </c>
      <c r="F86" s="11" t="str">
        <f aca="false">HYPERLINK("#Records!A1851","Read record →")</f>
        <v>Read record →</v>
      </c>
      <c r="G86" s="12"/>
      <c r="H86" s="13"/>
      <c r="I86" s="14"/>
      <c r="J86" s="12"/>
    </row>
    <row r="87" customFormat="false" ht="13.5" hidden="false" customHeight="true" outlineLevel="0" collapsed="false">
      <c r="A87" s="9" t="s">
        <v>271</v>
      </c>
      <c r="B87" s="9" t="s">
        <v>272</v>
      </c>
      <c r="C87" s="9" t="s">
        <v>49</v>
      </c>
      <c r="D87" s="9" t="s">
        <v>150</v>
      </c>
      <c r="E87" s="10" t="n">
        <v>31</v>
      </c>
      <c r="F87" s="11" t="str">
        <f aca="false">HYPERLINK("#Records!A1861","Read record →")</f>
        <v>Read record →</v>
      </c>
      <c r="G87" s="12"/>
      <c r="H87" s="13"/>
      <c r="I87" s="14"/>
      <c r="J87" s="12"/>
    </row>
    <row r="88" customFormat="false" ht="13.5" hidden="false" customHeight="true" outlineLevel="0" collapsed="false">
      <c r="A88" s="9" t="s">
        <v>273</v>
      </c>
      <c r="B88" s="9" t="s">
        <v>274</v>
      </c>
      <c r="C88" s="9" t="s">
        <v>259</v>
      </c>
      <c r="D88" s="9" t="s">
        <v>124</v>
      </c>
      <c r="E88" s="10" t="n">
        <v>17</v>
      </c>
      <c r="F88" s="11" t="str">
        <f aca="false">HYPERLINK("#Records!A1901","Read record →")</f>
        <v>Read record →</v>
      </c>
      <c r="G88" s="12"/>
      <c r="H88" s="13"/>
      <c r="I88" s="14"/>
      <c r="J88" s="12"/>
    </row>
    <row r="89" customFormat="false" ht="13.5" hidden="false" customHeight="true" outlineLevel="0" collapsed="false">
      <c r="A89" s="9" t="s">
        <v>275</v>
      </c>
      <c r="B89" s="9" t="s">
        <v>276</v>
      </c>
      <c r="C89" s="9" t="s">
        <v>267</v>
      </c>
      <c r="D89" s="9" t="s">
        <v>124</v>
      </c>
      <c r="E89" s="10" t="n">
        <v>4</v>
      </c>
      <c r="F89" s="11" t="str">
        <f aca="false">HYPERLINK("#Records!A1926","Read record →")</f>
        <v>Read record →</v>
      </c>
      <c r="G89" s="12"/>
      <c r="H89" s="13"/>
      <c r="I89" s="14"/>
      <c r="J89" s="12"/>
    </row>
    <row r="90" customFormat="false" ht="42" hidden="false" customHeight="true" outlineLevel="0" collapsed="false">
      <c r="A90" s="9" t="s">
        <v>277</v>
      </c>
      <c r="B90" s="9" t="s">
        <v>278</v>
      </c>
      <c r="C90" s="9" t="s">
        <v>279</v>
      </c>
      <c r="D90" s="9" t="s">
        <v>280</v>
      </c>
      <c r="E90" s="10" t="n">
        <v>1</v>
      </c>
      <c r="F90" s="11" t="str">
        <f aca="false">HYPERLINK("#Records!A1939","Read record →")</f>
        <v>Read record →</v>
      </c>
      <c r="G90" s="12"/>
      <c r="H90" s="13"/>
      <c r="I90" s="14"/>
      <c r="J90" s="12"/>
    </row>
    <row r="91" customFormat="false" ht="27.75" hidden="false" customHeight="true" outlineLevel="0" collapsed="false">
      <c r="A91" s="9" t="s">
        <v>281</v>
      </c>
      <c r="B91" s="9" t="s">
        <v>282</v>
      </c>
      <c r="C91" s="9" t="s">
        <v>71</v>
      </c>
      <c r="D91" s="9" t="s">
        <v>283</v>
      </c>
      <c r="E91" s="10" t="n">
        <v>4</v>
      </c>
      <c r="F91" s="11" t="str">
        <f aca="false">HYPERLINK("#Records!A1949","Read record →")</f>
        <v>Read record →</v>
      </c>
      <c r="G91" s="12"/>
      <c r="H91" s="13"/>
      <c r="I91" s="14"/>
      <c r="J91" s="12"/>
    </row>
    <row r="92" customFormat="false" ht="13.5" hidden="false" customHeight="true" outlineLevel="0" collapsed="false">
      <c r="A92" s="9" t="s">
        <v>284</v>
      </c>
      <c r="B92" s="9" t="s">
        <v>285</v>
      </c>
      <c r="C92" s="9" t="s">
        <v>71</v>
      </c>
      <c r="D92" s="9" t="s">
        <v>35</v>
      </c>
      <c r="E92" s="10" t="n">
        <v>11</v>
      </c>
      <c r="F92" s="11" t="str">
        <f aca="false">HYPERLINK("#Records!A1962","Read record →")</f>
        <v>Read record →</v>
      </c>
      <c r="G92" s="12"/>
      <c r="H92" s="13"/>
      <c r="I92" s="14"/>
      <c r="J92" s="12"/>
    </row>
    <row r="93" customFormat="false" ht="13.5" hidden="false" customHeight="true" outlineLevel="0" collapsed="false">
      <c r="A93" s="9" t="s">
        <v>286</v>
      </c>
      <c r="B93" s="9" t="s">
        <v>287</v>
      </c>
      <c r="C93" s="9" t="s">
        <v>49</v>
      </c>
      <c r="D93" s="9" t="s">
        <v>35</v>
      </c>
      <c r="E93" s="10" t="n">
        <v>1</v>
      </c>
      <c r="F93" s="11" t="str">
        <f aca="false">HYPERLINK("#Records!A1981","Read record →")</f>
        <v>Read record →</v>
      </c>
      <c r="G93" s="12"/>
      <c r="H93" s="13"/>
      <c r="I93" s="14"/>
      <c r="J93" s="12"/>
    </row>
    <row r="94" customFormat="false" ht="13.5" hidden="false" customHeight="true" outlineLevel="0" collapsed="false">
      <c r="A94" s="9" t="s">
        <v>288</v>
      </c>
      <c r="B94" s="9" t="s">
        <v>289</v>
      </c>
      <c r="C94" s="9" t="s">
        <v>59</v>
      </c>
      <c r="D94" s="9" t="s">
        <v>50</v>
      </c>
      <c r="E94" s="10" t="n">
        <v>1</v>
      </c>
      <c r="F94" s="11" t="str">
        <f aca="false">HYPERLINK("#Records!A1990","Read record →")</f>
        <v>Read record →</v>
      </c>
      <c r="G94" s="12"/>
      <c r="H94" s="13"/>
      <c r="I94" s="14"/>
      <c r="J94" s="12"/>
    </row>
    <row r="95" customFormat="false" ht="27.75" hidden="false" customHeight="true" outlineLevel="0" collapsed="false">
      <c r="A95" s="9" t="s">
        <v>290</v>
      </c>
      <c r="B95" s="9" t="s">
        <v>291</v>
      </c>
      <c r="C95" s="9" t="s">
        <v>292</v>
      </c>
      <c r="D95" s="9" t="s">
        <v>293</v>
      </c>
      <c r="E95" s="10" t="n">
        <v>29</v>
      </c>
      <c r="F95" s="11" t="str">
        <f aca="false">HYPERLINK("#Records!A2000","Read record →")</f>
        <v>Read record →</v>
      </c>
      <c r="G95" s="12"/>
      <c r="H95" s="13"/>
      <c r="I95" s="14"/>
      <c r="J95" s="12"/>
    </row>
    <row r="96" customFormat="false" ht="13.5" hidden="false" customHeight="true" outlineLevel="0" collapsed="false">
      <c r="A96" s="9" t="s">
        <v>294</v>
      </c>
      <c r="B96" s="9" t="s">
        <v>295</v>
      </c>
      <c r="C96" s="9" t="s">
        <v>296</v>
      </c>
      <c r="D96" s="9" t="s">
        <v>35</v>
      </c>
      <c r="E96" s="10" t="n">
        <v>1</v>
      </c>
      <c r="F96" s="11" t="str">
        <f aca="false">HYPERLINK("#Records!A2038","Read record →")</f>
        <v>Read record →</v>
      </c>
      <c r="G96" s="12"/>
      <c r="H96" s="13"/>
      <c r="I96" s="14"/>
      <c r="J96" s="12"/>
    </row>
    <row r="97" customFormat="false" ht="13.5" hidden="false" customHeight="true" outlineLevel="0" collapsed="false">
      <c r="A97" s="9" t="s">
        <v>297</v>
      </c>
      <c r="B97" s="9" t="s">
        <v>298</v>
      </c>
      <c r="C97" s="9" t="s">
        <v>299</v>
      </c>
      <c r="D97" s="9" t="s">
        <v>145</v>
      </c>
      <c r="E97" s="10" t="n">
        <v>165</v>
      </c>
      <c r="F97" s="11" t="str">
        <f aca="false">HYPERLINK("#Records!A2048","Read record →")</f>
        <v>Read record →</v>
      </c>
      <c r="G97" s="12"/>
      <c r="H97" s="13"/>
      <c r="I97" s="14"/>
      <c r="J97" s="12"/>
    </row>
    <row r="98" customFormat="false" ht="13.5" hidden="false" customHeight="true" outlineLevel="0" collapsed="false">
      <c r="A98" s="9" t="s">
        <v>300</v>
      </c>
      <c r="B98" s="9" t="s">
        <v>301</v>
      </c>
      <c r="C98" s="9" t="s">
        <v>302</v>
      </c>
      <c r="D98" s="9" t="s">
        <v>82</v>
      </c>
      <c r="E98" s="10" t="n">
        <v>23</v>
      </c>
      <c r="F98" s="11" t="str">
        <f aca="false">HYPERLINK("#Records!A2118","Read record →")</f>
        <v>Read record →</v>
      </c>
      <c r="G98" s="12"/>
      <c r="H98" s="13"/>
      <c r="I98" s="14"/>
      <c r="J98" s="12"/>
    </row>
    <row r="99" customFormat="false" ht="13.5" hidden="false" customHeight="true" outlineLevel="0" collapsed="false">
      <c r="A99" s="9" t="s">
        <v>303</v>
      </c>
      <c r="B99" s="9" t="s">
        <v>304</v>
      </c>
      <c r="C99" s="9" t="s">
        <v>176</v>
      </c>
      <c r="D99" s="9" t="s">
        <v>50</v>
      </c>
      <c r="E99" s="10" t="n">
        <v>2</v>
      </c>
      <c r="F99" s="11" t="str">
        <f aca="false">HYPERLINK("#Records!A2150","Read record →")</f>
        <v>Read record →</v>
      </c>
      <c r="G99" s="12"/>
      <c r="H99" s="13"/>
      <c r="I99" s="14"/>
      <c r="J99" s="12"/>
    </row>
    <row r="100" customFormat="false" ht="13.5" hidden="false" customHeight="true" outlineLevel="0" collapsed="false">
      <c r="A100" s="9" t="s">
        <v>305</v>
      </c>
      <c r="B100" s="9" t="s">
        <v>306</v>
      </c>
      <c r="C100" s="9" t="s">
        <v>45</v>
      </c>
      <c r="D100" s="9" t="s">
        <v>50</v>
      </c>
      <c r="E100" s="10" t="n">
        <v>2</v>
      </c>
      <c r="F100" s="11" t="str">
        <f aca="false">HYPERLINK("#Records!A2160","Read record →")</f>
        <v>Read record →</v>
      </c>
      <c r="G100" s="12"/>
      <c r="H100" s="13"/>
      <c r="I100" s="14"/>
      <c r="J100" s="12"/>
    </row>
    <row r="101" customFormat="false" ht="42" hidden="false" customHeight="true" outlineLevel="0" collapsed="false">
      <c r="A101" s="9" t="s">
        <v>307</v>
      </c>
      <c r="B101" s="9" t="s">
        <v>308</v>
      </c>
      <c r="C101" s="9" t="s">
        <v>309</v>
      </c>
      <c r="D101" s="9" t="s">
        <v>310</v>
      </c>
      <c r="E101" s="10" t="n">
        <v>70</v>
      </c>
      <c r="F101" s="11" t="str">
        <f aca="false">HYPERLINK("#Records!A2170","Read record →")</f>
        <v>Read record →</v>
      </c>
      <c r="G101" s="12"/>
      <c r="H101" s="13"/>
      <c r="I101" s="14"/>
      <c r="J101" s="12"/>
    </row>
    <row r="102" customFormat="false" ht="27.75" hidden="false" customHeight="true" outlineLevel="0" collapsed="false">
      <c r="A102" s="9" t="s">
        <v>311</v>
      </c>
      <c r="B102" s="9" t="s">
        <v>312</v>
      </c>
      <c r="C102" s="9" t="s">
        <v>313</v>
      </c>
      <c r="D102" s="9" t="s">
        <v>314</v>
      </c>
      <c r="E102" s="10" t="n">
        <v>12</v>
      </c>
      <c r="F102" s="11" t="str">
        <f aca="false">HYPERLINK("#Records!A2240","Read record →")</f>
        <v>Read record →</v>
      </c>
      <c r="G102" s="12"/>
      <c r="H102" s="13"/>
      <c r="I102" s="14"/>
      <c r="J102" s="12"/>
    </row>
    <row r="103" customFormat="false" ht="13.5" hidden="false" customHeight="true" outlineLevel="0" collapsed="false">
      <c r="A103" s="9" t="s">
        <v>315</v>
      </c>
      <c r="B103" s="9" t="s">
        <v>316</v>
      </c>
      <c r="C103" s="9" t="s">
        <v>153</v>
      </c>
      <c r="D103" s="9" t="s">
        <v>68</v>
      </c>
      <c r="E103" s="10" t="n">
        <v>31</v>
      </c>
      <c r="F103" s="11" t="str">
        <f aca="false">HYPERLINK("#Records!A2261","Read record →")</f>
        <v>Read record →</v>
      </c>
      <c r="G103" s="12"/>
      <c r="H103" s="13"/>
      <c r="I103" s="14"/>
      <c r="J103" s="12"/>
    </row>
    <row r="104" customFormat="false" ht="13.5" hidden="false" customHeight="true" outlineLevel="0" collapsed="false">
      <c r="A104" s="9" t="s">
        <v>317</v>
      </c>
      <c r="B104" s="9" t="s">
        <v>318</v>
      </c>
      <c r="C104" s="9" t="s">
        <v>59</v>
      </c>
      <c r="D104" s="9" t="s">
        <v>50</v>
      </c>
      <c r="E104" s="10" t="n">
        <v>29</v>
      </c>
      <c r="F104" s="11" t="str">
        <f aca="false">HYPERLINK("#Records!A2300","Read record →")</f>
        <v>Read record →</v>
      </c>
      <c r="G104" s="12"/>
      <c r="H104" s="13"/>
      <c r="I104" s="14"/>
      <c r="J104" s="12"/>
    </row>
    <row r="105" customFormat="false" ht="13.5" hidden="false" customHeight="true" outlineLevel="0" collapsed="false">
      <c r="A105" s="9" t="s">
        <v>319</v>
      </c>
      <c r="B105" s="9" t="s">
        <v>320</v>
      </c>
      <c r="C105" s="9" t="s">
        <v>49</v>
      </c>
      <c r="D105" s="9" t="s">
        <v>50</v>
      </c>
      <c r="E105" s="10" t="n">
        <v>21</v>
      </c>
      <c r="F105" s="11" t="str">
        <f aca="false">HYPERLINK("#Records!A2338","Read record →")</f>
        <v>Read record →</v>
      </c>
      <c r="G105" s="12"/>
      <c r="H105" s="13"/>
      <c r="I105" s="14"/>
      <c r="J105" s="12"/>
    </row>
    <row r="106" customFormat="false" ht="13.5" hidden="false" customHeight="true" outlineLevel="0" collapsed="false">
      <c r="A106" s="9" t="s">
        <v>321</v>
      </c>
      <c r="B106" s="9" t="s">
        <v>322</v>
      </c>
      <c r="C106" s="9" t="s">
        <v>240</v>
      </c>
      <c r="D106" s="9" t="s">
        <v>161</v>
      </c>
      <c r="E106" s="10" t="n">
        <v>16</v>
      </c>
      <c r="F106" s="11" t="str">
        <f aca="false">HYPERLINK("#Records!A2368","Read record →")</f>
        <v>Read record →</v>
      </c>
      <c r="G106" s="12"/>
      <c r="H106" s="13"/>
      <c r="I106" s="14"/>
      <c r="J106" s="12"/>
    </row>
    <row r="107" customFormat="false" ht="27.75" hidden="false" customHeight="true" outlineLevel="0" collapsed="false">
      <c r="A107" s="9" t="s">
        <v>323</v>
      </c>
      <c r="B107" s="9" t="s">
        <v>324</v>
      </c>
      <c r="C107" s="9" t="s">
        <v>98</v>
      </c>
      <c r="D107" s="9" t="s">
        <v>325</v>
      </c>
      <c r="E107" s="10" t="n">
        <v>5</v>
      </c>
      <c r="F107" s="11" t="str">
        <f aca="false">HYPERLINK("#Records!A2392","Read record →")</f>
        <v>Read record →</v>
      </c>
      <c r="G107" s="12"/>
      <c r="H107" s="13"/>
      <c r="I107" s="14"/>
      <c r="J107" s="12"/>
    </row>
    <row r="108" customFormat="false" ht="13.5" hidden="false" customHeight="true" outlineLevel="0" collapsed="false">
      <c r="A108" s="9" t="s">
        <v>326</v>
      </c>
      <c r="B108" s="9" t="s">
        <v>327</v>
      </c>
      <c r="C108" s="9" t="s">
        <v>98</v>
      </c>
      <c r="D108" s="9" t="s">
        <v>328</v>
      </c>
      <c r="E108" s="10" t="n">
        <v>3</v>
      </c>
      <c r="F108" s="11" t="str">
        <f aca="false">HYPERLINK("#Records!A2405","Read record →")</f>
        <v>Read record →</v>
      </c>
      <c r="G108" s="12"/>
      <c r="H108" s="13"/>
      <c r="I108" s="14"/>
      <c r="J108" s="12"/>
    </row>
    <row r="109" customFormat="false" ht="13.5" hidden="false" customHeight="true" outlineLevel="0" collapsed="false">
      <c r="A109" s="9" t="s">
        <v>329</v>
      </c>
      <c r="B109" s="9" t="s">
        <v>330</v>
      </c>
      <c r="C109" s="9" t="s">
        <v>67</v>
      </c>
      <c r="D109" s="9" t="s">
        <v>50</v>
      </c>
      <c r="E109" s="10" t="n">
        <v>17</v>
      </c>
      <c r="F109" s="11" t="str">
        <f aca="false">HYPERLINK("#Records!A2416","Read record →")</f>
        <v>Read record →</v>
      </c>
      <c r="G109" s="12"/>
      <c r="H109" s="13"/>
      <c r="I109" s="14"/>
      <c r="J109" s="12"/>
    </row>
    <row r="110" customFormat="false" ht="13.5" hidden="false" customHeight="true" outlineLevel="0" collapsed="false">
      <c r="A110" s="9" t="s">
        <v>331</v>
      </c>
      <c r="B110" s="9" t="s">
        <v>332</v>
      </c>
      <c r="C110" s="9" t="s">
        <v>59</v>
      </c>
      <c r="D110" s="9" t="s">
        <v>50</v>
      </c>
      <c r="E110" s="10" t="n">
        <v>1</v>
      </c>
      <c r="F110" s="11" t="str">
        <f aca="false">HYPERLINK("#Records!A2442","Read record →")</f>
        <v>Read record →</v>
      </c>
      <c r="G110" s="12"/>
      <c r="H110" s="13"/>
      <c r="I110" s="14"/>
      <c r="J110" s="12"/>
    </row>
    <row r="111" customFormat="false" ht="27.75" hidden="false" customHeight="true" outlineLevel="0" collapsed="false">
      <c r="A111" s="9" t="s">
        <v>333</v>
      </c>
      <c r="B111" s="9" t="s">
        <v>334</v>
      </c>
      <c r="C111" s="9" t="s">
        <v>335</v>
      </c>
      <c r="D111" s="9" t="s">
        <v>336</v>
      </c>
      <c r="E111" s="10" t="n">
        <v>13</v>
      </c>
      <c r="F111" s="11" t="str">
        <f aca="false">HYPERLINK("#Records!A2452","Read record →")</f>
        <v>Read record →</v>
      </c>
      <c r="G111" s="12"/>
      <c r="H111" s="13"/>
      <c r="I111" s="14"/>
      <c r="J111" s="12"/>
    </row>
    <row r="112" customFormat="false" ht="13.5" hidden="false" customHeight="true" outlineLevel="0" collapsed="false">
      <c r="A112" s="9" t="s">
        <v>337</v>
      </c>
      <c r="B112" s="9" t="s">
        <v>338</v>
      </c>
      <c r="C112" s="9" t="s">
        <v>71</v>
      </c>
      <c r="D112" s="9" t="s">
        <v>35</v>
      </c>
      <c r="E112" s="10" t="n">
        <v>5</v>
      </c>
      <c r="F112" s="11" t="str">
        <f aca="false">HYPERLINK("#Records!A2474","Read record →")</f>
        <v>Read record →</v>
      </c>
      <c r="G112" s="12"/>
      <c r="H112" s="13"/>
      <c r="I112" s="14"/>
      <c r="J112" s="12"/>
    </row>
    <row r="113" customFormat="false" ht="13.5" hidden="false" customHeight="true" outlineLevel="0" collapsed="false">
      <c r="A113" s="9" t="s">
        <v>339</v>
      </c>
      <c r="B113" s="9" t="s">
        <v>340</v>
      </c>
      <c r="C113" s="9" t="s">
        <v>71</v>
      </c>
      <c r="D113" s="9" t="s">
        <v>50</v>
      </c>
      <c r="E113" s="10" t="n">
        <v>6</v>
      </c>
      <c r="F113" s="11" t="str">
        <f aca="false">HYPERLINK("#Records!A2487","Read record →")</f>
        <v>Read record →</v>
      </c>
      <c r="G113" s="12"/>
      <c r="H113" s="13"/>
      <c r="I113" s="14"/>
      <c r="J113" s="12"/>
    </row>
    <row r="114" customFormat="false" ht="27.75" hidden="false" customHeight="true" outlineLevel="0" collapsed="false">
      <c r="A114" s="9" t="s">
        <v>341</v>
      </c>
      <c r="B114" s="9" t="s">
        <v>342</v>
      </c>
      <c r="C114" s="9" t="s">
        <v>343</v>
      </c>
      <c r="D114" s="9" t="s">
        <v>50</v>
      </c>
      <c r="E114" s="10" t="n">
        <v>0</v>
      </c>
      <c r="F114" s="11" t="str">
        <f aca="false">HYPERLINK("#Records!A2502","Read record →")</f>
        <v>Read record →</v>
      </c>
      <c r="G114" s="12"/>
      <c r="H114" s="13"/>
      <c r="I114" s="14"/>
      <c r="J114" s="12"/>
    </row>
    <row r="115" customFormat="false" ht="13.5" hidden="false" customHeight="true" outlineLevel="0" collapsed="false">
      <c r="A115" s="9" t="s">
        <v>344</v>
      </c>
      <c r="B115" s="9" t="s">
        <v>345</v>
      </c>
      <c r="C115" s="9" t="s">
        <v>346</v>
      </c>
      <c r="D115" s="9" t="s">
        <v>35</v>
      </c>
      <c r="E115" s="10" t="n">
        <v>66</v>
      </c>
      <c r="F115" s="11" t="str">
        <f aca="false">HYPERLINK("#Records!A2512","Read record →")</f>
        <v>Read record →</v>
      </c>
      <c r="G115" s="12"/>
      <c r="H115" s="13"/>
      <c r="I115" s="14"/>
      <c r="J115" s="12"/>
    </row>
    <row r="116" customFormat="false" ht="13.5" hidden="false" customHeight="true" outlineLevel="0" collapsed="false">
      <c r="A116" s="9" t="s">
        <v>347</v>
      </c>
      <c r="B116" s="9" t="s">
        <v>348</v>
      </c>
      <c r="C116" s="9" t="s">
        <v>59</v>
      </c>
      <c r="D116" s="9" t="s">
        <v>145</v>
      </c>
      <c r="E116" s="10" t="n">
        <v>11</v>
      </c>
      <c r="F116" s="11" t="str">
        <f aca="false">HYPERLINK("#Records!A2581","Read record →")</f>
        <v>Read record →</v>
      </c>
      <c r="G116" s="12"/>
      <c r="H116" s="13"/>
      <c r="I116" s="14"/>
      <c r="J116" s="12"/>
    </row>
    <row r="117" customFormat="false" ht="13.5" hidden="false" customHeight="true" outlineLevel="0" collapsed="false">
      <c r="A117" s="9" t="s">
        <v>349</v>
      </c>
      <c r="B117" s="9" t="s">
        <v>350</v>
      </c>
      <c r="C117" s="9" t="s">
        <v>59</v>
      </c>
      <c r="D117" s="9" t="s">
        <v>351</v>
      </c>
      <c r="E117" s="10" t="n">
        <v>4</v>
      </c>
      <c r="F117" s="11" t="str">
        <f aca="false">HYPERLINK("#Records!A2601","Read record →")</f>
        <v>Read record →</v>
      </c>
      <c r="G117" s="12"/>
      <c r="H117" s="13"/>
      <c r="I117" s="14"/>
      <c r="J117" s="12"/>
    </row>
    <row r="118" customFormat="false" ht="42" hidden="false" customHeight="true" outlineLevel="0" collapsed="false">
      <c r="A118" s="9" t="s">
        <v>352</v>
      </c>
      <c r="B118" s="9" t="s">
        <v>353</v>
      </c>
      <c r="C118" s="9" t="s">
        <v>354</v>
      </c>
      <c r="D118" s="9" t="s">
        <v>355</v>
      </c>
      <c r="E118" s="10" t="n">
        <v>2</v>
      </c>
      <c r="F118" s="11" t="str">
        <f aca="false">HYPERLINK("#Records!A2614","Read record →")</f>
        <v>Read record →</v>
      </c>
      <c r="G118" s="12"/>
      <c r="H118" s="13"/>
      <c r="I118" s="14"/>
      <c r="J118" s="12"/>
    </row>
    <row r="119" customFormat="false" ht="13.5" hidden="false" customHeight="true" outlineLevel="0" collapsed="false">
      <c r="A119" s="9" t="s">
        <v>356</v>
      </c>
      <c r="B119" s="9" t="s">
        <v>357</v>
      </c>
      <c r="C119" s="9" t="s">
        <v>59</v>
      </c>
      <c r="D119" s="9" t="s">
        <v>145</v>
      </c>
      <c r="E119" s="10" t="n">
        <v>16</v>
      </c>
      <c r="F119" s="11" t="str">
        <f aca="false">HYPERLINK("#Records!A2625","Read record →")</f>
        <v>Read record →</v>
      </c>
      <c r="G119" s="12"/>
      <c r="H119" s="13"/>
      <c r="I119" s="14"/>
      <c r="J119" s="12"/>
    </row>
    <row r="120" customFormat="false" ht="13.5" hidden="false" customHeight="true" outlineLevel="0" collapsed="false">
      <c r="A120" s="9" t="s">
        <v>358</v>
      </c>
      <c r="B120" s="9" t="s">
        <v>359</v>
      </c>
      <c r="C120" s="9" t="s">
        <v>75</v>
      </c>
      <c r="D120" s="9" t="s">
        <v>50</v>
      </c>
      <c r="E120" s="10" t="n">
        <v>6</v>
      </c>
      <c r="F120" s="11" t="str">
        <f aca="false">HYPERLINK("#Records!A2650","Read record →")</f>
        <v>Read record →</v>
      </c>
      <c r="G120" s="12"/>
      <c r="H120" s="13"/>
      <c r="I120" s="14"/>
      <c r="J120" s="12"/>
    </row>
    <row r="121" customFormat="false" ht="13.5" hidden="false" customHeight="true" outlineLevel="0" collapsed="false">
      <c r="A121" s="9" t="s">
        <v>360</v>
      </c>
      <c r="B121" s="9" t="s">
        <v>361</v>
      </c>
      <c r="C121" s="9" t="s">
        <v>59</v>
      </c>
      <c r="D121" s="9" t="s">
        <v>362</v>
      </c>
      <c r="E121" s="10" t="n">
        <v>19</v>
      </c>
      <c r="F121" s="11" t="str">
        <f aca="false">HYPERLINK("#Records!A2665","Read record →")</f>
        <v>Read record →</v>
      </c>
      <c r="G121" s="12"/>
      <c r="H121" s="13"/>
      <c r="I121" s="14"/>
      <c r="J121" s="12"/>
    </row>
    <row r="122" customFormat="false" ht="13.5" hidden="false" customHeight="true" outlineLevel="0" collapsed="false">
      <c r="A122" s="9" t="s">
        <v>363</v>
      </c>
      <c r="B122" s="9" t="s">
        <v>364</v>
      </c>
      <c r="C122" s="9" t="s">
        <v>365</v>
      </c>
      <c r="D122" s="9"/>
      <c r="E122" s="10" t="n">
        <v>1</v>
      </c>
      <c r="F122" s="11" t="str">
        <f aca="false">HYPERLINK("#Records!A2693","Read record →")</f>
        <v>Read record →</v>
      </c>
      <c r="G122" s="12"/>
      <c r="H122" s="13"/>
      <c r="I122" s="14"/>
      <c r="J122" s="12"/>
    </row>
    <row r="123" customFormat="false" ht="27.75" hidden="false" customHeight="true" outlineLevel="0" collapsed="false">
      <c r="A123" s="9" t="s">
        <v>366</v>
      </c>
      <c r="B123" s="9" t="s">
        <v>367</v>
      </c>
      <c r="C123" s="9" t="s">
        <v>94</v>
      </c>
      <c r="D123" s="9" t="s">
        <v>368</v>
      </c>
      <c r="E123" s="10" t="n">
        <v>1</v>
      </c>
      <c r="F123" s="11" t="str">
        <f aca="false">HYPERLINK("#Records!A2702","Read record →")</f>
        <v>Read record →</v>
      </c>
      <c r="G123" s="12"/>
      <c r="H123" s="13"/>
      <c r="I123" s="14"/>
      <c r="J123" s="12"/>
    </row>
    <row r="124" customFormat="false" ht="13.5" hidden="false" customHeight="true" outlineLevel="0" collapsed="false">
      <c r="A124" s="9" t="s">
        <v>369</v>
      </c>
      <c r="B124" s="9" t="s">
        <v>370</v>
      </c>
      <c r="C124" s="9" t="s">
        <v>59</v>
      </c>
      <c r="D124" s="9" t="s">
        <v>50</v>
      </c>
      <c r="E124" s="10" t="n">
        <v>18</v>
      </c>
      <c r="F124" s="11" t="str">
        <f aca="false">HYPERLINK("#Records!A2712","Read record →")</f>
        <v>Read record →</v>
      </c>
      <c r="G124" s="12"/>
      <c r="H124" s="13"/>
      <c r="I124" s="14"/>
      <c r="J124" s="12"/>
    </row>
    <row r="125" customFormat="false" ht="27.75" hidden="false" customHeight="true" outlineLevel="0" collapsed="false">
      <c r="A125" s="9" t="s">
        <v>371</v>
      </c>
      <c r="B125" s="9" t="s">
        <v>372</v>
      </c>
      <c r="C125" s="9" t="s">
        <v>270</v>
      </c>
      <c r="D125" s="9" t="s">
        <v>68</v>
      </c>
      <c r="E125" s="10" t="n">
        <v>3</v>
      </c>
      <c r="F125" s="11" t="str">
        <f aca="false">HYPERLINK("#Records!A2738","Read record →")</f>
        <v>Read record →</v>
      </c>
      <c r="G125" s="12"/>
      <c r="H125" s="13"/>
      <c r="I125" s="14"/>
      <c r="J125" s="12"/>
    </row>
    <row r="126" customFormat="false" ht="13.5" hidden="false" customHeight="true" outlineLevel="0" collapsed="false">
      <c r="A126" s="9" t="s">
        <v>373</v>
      </c>
      <c r="B126" s="9" t="s">
        <v>374</v>
      </c>
      <c r="C126" s="9" t="s">
        <v>153</v>
      </c>
      <c r="D126" s="9" t="s">
        <v>328</v>
      </c>
      <c r="E126" s="10" t="n">
        <v>39</v>
      </c>
      <c r="F126" s="11" t="str">
        <f aca="false">HYPERLINK("#Records!A2750","Read record →")</f>
        <v>Read record →</v>
      </c>
      <c r="G126" s="12"/>
      <c r="H126" s="13"/>
      <c r="I126" s="14"/>
      <c r="J126" s="12"/>
    </row>
    <row r="127" customFormat="false" ht="42" hidden="false" customHeight="true" outlineLevel="0" collapsed="false">
      <c r="A127" s="9" t="s">
        <v>375</v>
      </c>
      <c r="B127" s="9" t="s">
        <v>376</v>
      </c>
      <c r="C127" s="9" t="s">
        <v>309</v>
      </c>
      <c r="D127" s="9" t="s">
        <v>377</v>
      </c>
      <c r="E127" s="10" t="n">
        <v>346</v>
      </c>
      <c r="F127" s="11" t="str">
        <f aca="false">HYPERLINK("#Records!A2798","Read record →")</f>
        <v>Read record →</v>
      </c>
      <c r="G127" s="12"/>
      <c r="H127" s="13"/>
      <c r="I127" s="14"/>
      <c r="J127" s="12"/>
    </row>
    <row r="128" customFormat="false" ht="13.5" hidden="false" customHeight="true" outlineLevel="0" collapsed="false">
      <c r="A128" s="9" t="s">
        <v>378</v>
      </c>
      <c r="B128" s="9" t="s">
        <v>379</v>
      </c>
      <c r="C128" s="9" t="s">
        <v>49</v>
      </c>
      <c r="D128" s="9" t="s">
        <v>355</v>
      </c>
      <c r="E128" s="10" t="n">
        <v>2</v>
      </c>
      <c r="F128" s="11" t="str">
        <f aca="false">HYPERLINK("#Records!A2868","Read record →")</f>
        <v>Read record →</v>
      </c>
      <c r="G128" s="12"/>
      <c r="H128" s="13"/>
      <c r="I128" s="14"/>
      <c r="J128" s="12"/>
    </row>
    <row r="129" customFormat="false" ht="27.75" hidden="false" customHeight="true" outlineLevel="0" collapsed="false">
      <c r="A129" s="9" t="s">
        <v>380</v>
      </c>
      <c r="B129" s="9" t="s">
        <v>381</v>
      </c>
      <c r="C129" s="9" t="s">
        <v>382</v>
      </c>
      <c r="D129" s="9" t="s">
        <v>145</v>
      </c>
      <c r="E129" s="10" t="n">
        <v>5</v>
      </c>
      <c r="F129" s="11" t="str">
        <f aca="false">HYPERLINK("#Records!A2878","Read record →")</f>
        <v>Read record →</v>
      </c>
      <c r="G129" s="12"/>
      <c r="H129" s="13"/>
      <c r="I129" s="14"/>
      <c r="J129" s="12"/>
    </row>
    <row r="130" customFormat="false" ht="13.5" hidden="false" customHeight="true" outlineLevel="0" collapsed="false">
      <c r="A130" s="9" t="s">
        <v>383</v>
      </c>
      <c r="B130" s="9" t="s">
        <v>384</v>
      </c>
      <c r="C130" s="9" t="s">
        <v>59</v>
      </c>
      <c r="D130" s="9" t="s">
        <v>150</v>
      </c>
      <c r="E130" s="10" t="n">
        <v>1</v>
      </c>
      <c r="F130" s="11" t="str">
        <f aca="false">HYPERLINK("#Records!A2892","Read record →")</f>
        <v>Read record →</v>
      </c>
      <c r="G130" s="12"/>
      <c r="H130" s="13"/>
      <c r="I130" s="14"/>
      <c r="J130" s="12"/>
    </row>
    <row r="131" customFormat="false" ht="27.75" hidden="false" customHeight="true" outlineLevel="0" collapsed="false">
      <c r="A131" s="9" t="s">
        <v>385</v>
      </c>
      <c r="B131" s="9" t="s">
        <v>386</v>
      </c>
      <c r="C131" s="9" t="s">
        <v>387</v>
      </c>
      <c r="D131" s="9" t="s">
        <v>50</v>
      </c>
      <c r="E131" s="10" t="n">
        <v>3</v>
      </c>
      <c r="F131" s="11" t="str">
        <f aca="false">HYPERLINK("#Records!A2902","Read record →")</f>
        <v>Read record →</v>
      </c>
      <c r="G131" s="12"/>
      <c r="H131" s="13"/>
      <c r="I131" s="14"/>
      <c r="J131" s="12"/>
    </row>
    <row r="132" customFormat="false" ht="42" hidden="false" customHeight="true" outlineLevel="0" collapsed="false">
      <c r="A132" s="9" t="s">
        <v>388</v>
      </c>
      <c r="B132" s="9" t="s">
        <v>389</v>
      </c>
      <c r="C132" s="9" t="s">
        <v>390</v>
      </c>
      <c r="D132" s="9" t="s">
        <v>391</v>
      </c>
      <c r="E132" s="10" t="n">
        <v>1</v>
      </c>
      <c r="F132" s="11" t="str">
        <f aca="false">HYPERLINK("#Records!A2914","Read record →")</f>
        <v>Read record →</v>
      </c>
      <c r="G132" s="12"/>
      <c r="H132" s="13"/>
      <c r="I132" s="14"/>
      <c r="J132" s="12"/>
    </row>
    <row r="133" customFormat="false" ht="13.5" hidden="false" customHeight="true" outlineLevel="0" collapsed="false">
      <c r="A133" s="9" t="s">
        <v>392</v>
      </c>
      <c r="B133" s="9" t="s">
        <v>393</v>
      </c>
      <c r="C133" s="9" t="s">
        <v>75</v>
      </c>
      <c r="D133" s="9" t="s">
        <v>394</v>
      </c>
      <c r="E133" s="10" t="n">
        <v>10</v>
      </c>
      <c r="F133" s="11" t="str">
        <f aca="false">HYPERLINK("#Records!A2924","Read record →")</f>
        <v>Read record →</v>
      </c>
      <c r="G133" s="12"/>
      <c r="H133" s="13"/>
      <c r="I133" s="14"/>
      <c r="J133" s="12"/>
    </row>
    <row r="134" customFormat="false" ht="13.5" hidden="false" customHeight="true" outlineLevel="0" collapsed="false">
      <c r="A134" s="9" t="s">
        <v>395</v>
      </c>
      <c r="B134" s="9" t="s">
        <v>396</v>
      </c>
      <c r="C134" s="9" t="s">
        <v>67</v>
      </c>
      <c r="D134" s="9" t="s">
        <v>35</v>
      </c>
      <c r="E134" s="10" t="n">
        <v>0</v>
      </c>
      <c r="F134" s="11" t="str">
        <f aca="false">HYPERLINK("#Records!A2942","Read record →")</f>
        <v>Read record →</v>
      </c>
      <c r="G134" s="12"/>
      <c r="H134" s="13"/>
      <c r="I134" s="14"/>
      <c r="J134" s="12"/>
    </row>
    <row r="135" customFormat="false" ht="42" hidden="false" customHeight="true" outlineLevel="0" collapsed="false">
      <c r="A135" s="9" t="s">
        <v>397</v>
      </c>
      <c r="B135" s="9" t="s">
        <v>398</v>
      </c>
      <c r="C135" s="9" t="s">
        <v>399</v>
      </c>
      <c r="D135" s="9" t="s">
        <v>400</v>
      </c>
      <c r="E135" s="10" t="n">
        <v>29</v>
      </c>
      <c r="F135" s="11" t="str">
        <f aca="false">HYPERLINK("#Records!A2952","Read record →")</f>
        <v>Read record →</v>
      </c>
      <c r="G135" s="12"/>
      <c r="H135" s="13"/>
      <c r="I135" s="14"/>
      <c r="J135" s="12"/>
    </row>
    <row r="136" customFormat="false" ht="13.5" hidden="false" customHeight="true" outlineLevel="0" collapsed="false">
      <c r="A136" s="9" t="s">
        <v>401</v>
      </c>
      <c r="B136" s="9" t="s">
        <v>402</v>
      </c>
      <c r="C136" s="9" t="s">
        <v>59</v>
      </c>
      <c r="D136" s="9" t="s">
        <v>314</v>
      </c>
      <c r="E136" s="10" t="n">
        <v>46</v>
      </c>
      <c r="F136" s="11" t="str">
        <f aca="false">HYPERLINK("#Records!A2989","Read record →")</f>
        <v>Read record →</v>
      </c>
      <c r="G136" s="12"/>
      <c r="H136" s="13"/>
      <c r="I136" s="14"/>
      <c r="J136" s="12"/>
    </row>
    <row r="137" customFormat="false" ht="42" hidden="false" customHeight="true" outlineLevel="0" collapsed="false">
      <c r="A137" s="9" t="s">
        <v>403</v>
      </c>
      <c r="B137" s="9" t="s">
        <v>404</v>
      </c>
      <c r="C137" s="9" t="s">
        <v>405</v>
      </c>
      <c r="D137" s="9" t="s">
        <v>406</v>
      </c>
      <c r="E137" s="10" t="n">
        <v>0</v>
      </c>
      <c r="F137" s="11" t="str">
        <f aca="false">HYPERLINK("#Records!A3044","Read record →")</f>
        <v>Read record →</v>
      </c>
      <c r="G137" s="12"/>
      <c r="H137" s="13"/>
      <c r="I137" s="14"/>
      <c r="J137" s="12"/>
    </row>
    <row r="138" customFormat="false" ht="13.5" hidden="false" customHeight="true" outlineLevel="0" collapsed="false">
      <c r="A138" s="9" t="s">
        <v>407</v>
      </c>
      <c r="B138" s="9" t="s">
        <v>408</v>
      </c>
      <c r="C138" s="9" t="s">
        <v>59</v>
      </c>
      <c r="D138" s="9" t="s">
        <v>68</v>
      </c>
      <c r="E138" s="10" t="n">
        <v>19</v>
      </c>
      <c r="F138" s="11" t="str">
        <f aca="false">HYPERLINK("#Records!A3054","Read record →")</f>
        <v>Read record →</v>
      </c>
      <c r="G138" s="12"/>
      <c r="H138" s="13"/>
      <c r="I138" s="14"/>
      <c r="J138" s="12"/>
    </row>
    <row r="139" customFormat="false" ht="13.5" hidden="false" customHeight="true" outlineLevel="0" collapsed="false">
      <c r="A139" s="9" t="s">
        <v>409</v>
      </c>
      <c r="B139" s="9" t="s">
        <v>410</v>
      </c>
      <c r="C139" s="9" t="s">
        <v>220</v>
      </c>
      <c r="D139" s="9" t="s">
        <v>124</v>
      </c>
      <c r="E139" s="10" t="n">
        <v>10</v>
      </c>
      <c r="F139" s="11" t="str">
        <f aca="false">HYPERLINK("#Records!A3082","Read record →")</f>
        <v>Read record →</v>
      </c>
      <c r="G139" s="12"/>
      <c r="H139" s="13"/>
      <c r="I139" s="14"/>
      <c r="J139" s="12"/>
    </row>
    <row r="140" customFormat="false" ht="42" hidden="false" customHeight="true" outlineLevel="0" collapsed="false">
      <c r="A140" s="9" t="s">
        <v>411</v>
      </c>
      <c r="B140" s="9" t="s">
        <v>412</v>
      </c>
      <c r="C140" s="9" t="s">
        <v>413</v>
      </c>
      <c r="D140" s="9" t="s">
        <v>35</v>
      </c>
      <c r="E140" s="10" t="n">
        <v>4</v>
      </c>
      <c r="F140" s="11" t="str">
        <f aca="false">HYPERLINK("#Records!A3101","Read record →")</f>
        <v>Read record →</v>
      </c>
      <c r="G140" s="12"/>
      <c r="H140" s="13"/>
      <c r="I140" s="14"/>
      <c r="J140" s="12"/>
    </row>
    <row r="141" customFormat="false" ht="27.75" hidden="false" customHeight="true" outlineLevel="0" collapsed="false">
      <c r="A141" s="9" t="s">
        <v>414</v>
      </c>
      <c r="B141" s="9" t="s">
        <v>415</v>
      </c>
      <c r="C141" s="9" t="s">
        <v>416</v>
      </c>
      <c r="D141" s="9" t="s">
        <v>150</v>
      </c>
      <c r="E141" s="10" t="n">
        <v>6</v>
      </c>
      <c r="F141" s="11" t="str">
        <f aca="false">HYPERLINK("#Records!A3113","Read record →")</f>
        <v>Read record →</v>
      </c>
      <c r="G141" s="12"/>
      <c r="H141" s="13"/>
      <c r="I141" s="14"/>
      <c r="J141" s="12"/>
    </row>
    <row r="142" customFormat="false" ht="13.5" hidden="false" customHeight="true" outlineLevel="0" collapsed="false">
      <c r="A142" s="9" t="s">
        <v>417</v>
      </c>
      <c r="B142" s="9" t="s">
        <v>418</v>
      </c>
      <c r="C142" s="9" t="s">
        <v>53</v>
      </c>
      <c r="D142" s="9" t="s">
        <v>124</v>
      </c>
      <c r="E142" s="10" t="n">
        <v>21</v>
      </c>
      <c r="F142" s="11" t="str">
        <f aca="false">HYPERLINK("#Records!A3128","Read record →")</f>
        <v>Read record →</v>
      </c>
      <c r="G142" s="12"/>
      <c r="H142" s="13"/>
      <c r="I142" s="14"/>
      <c r="J142" s="12"/>
    </row>
    <row r="143" customFormat="false" ht="13.5" hidden="false" customHeight="true" outlineLevel="0" collapsed="false">
      <c r="A143" s="9" t="s">
        <v>419</v>
      </c>
      <c r="B143" s="9" t="s">
        <v>420</v>
      </c>
      <c r="C143" s="9" t="s">
        <v>49</v>
      </c>
      <c r="D143" s="9" t="s">
        <v>50</v>
      </c>
      <c r="E143" s="10" t="n">
        <v>2</v>
      </c>
      <c r="F143" s="11" t="str">
        <f aca="false">HYPERLINK("#Records!A3158","Read record →")</f>
        <v>Read record →</v>
      </c>
      <c r="G143" s="12"/>
      <c r="H143" s="13"/>
      <c r="I143" s="14"/>
      <c r="J143" s="12"/>
    </row>
    <row r="144" customFormat="false" ht="13.5" hidden="false" customHeight="true" outlineLevel="0" collapsed="false">
      <c r="A144" s="9" t="s">
        <v>421</v>
      </c>
      <c r="B144" s="9" t="s">
        <v>422</v>
      </c>
      <c r="C144" s="9" t="s">
        <v>71</v>
      </c>
      <c r="D144" s="9" t="s">
        <v>423</v>
      </c>
      <c r="E144" s="10" t="n">
        <v>56</v>
      </c>
      <c r="F144" s="11" t="str">
        <f aca="false">HYPERLINK("#Records!A3168","Read record →")</f>
        <v>Read record →</v>
      </c>
      <c r="G144" s="12"/>
      <c r="H144" s="13"/>
      <c r="I144" s="14"/>
      <c r="J144" s="12"/>
    </row>
    <row r="145" customFormat="false" ht="13.5" hidden="false" customHeight="true" outlineLevel="0" collapsed="false">
      <c r="A145" s="9" t="s">
        <v>424</v>
      </c>
      <c r="B145" s="9" t="s">
        <v>425</v>
      </c>
      <c r="C145" s="9" t="s">
        <v>71</v>
      </c>
      <c r="D145" s="9" t="s">
        <v>50</v>
      </c>
      <c r="E145" s="10" t="n">
        <v>3</v>
      </c>
      <c r="F145" s="11" t="str">
        <f aca="false">HYPERLINK("#Records!A3233","Read record →")</f>
        <v>Read record →</v>
      </c>
      <c r="G145" s="12"/>
      <c r="H145" s="13"/>
      <c r="I145" s="14"/>
      <c r="J145" s="12"/>
    </row>
    <row r="146" customFormat="false" ht="13.5" hidden="false" customHeight="true" outlineLevel="0" collapsed="false">
      <c r="A146" s="9" t="s">
        <v>426</v>
      </c>
      <c r="B146" s="9" t="s">
        <v>427</v>
      </c>
      <c r="C146" s="9" t="s">
        <v>157</v>
      </c>
      <c r="D146" s="9"/>
      <c r="E146" s="10" t="n">
        <v>1</v>
      </c>
      <c r="F146" s="11" t="str">
        <f aca="false">HYPERLINK("#Records!A3244","Read record →")</f>
        <v>Read record →</v>
      </c>
      <c r="G146" s="12"/>
      <c r="H146" s="13"/>
      <c r="I146" s="14"/>
      <c r="J146" s="12"/>
    </row>
    <row r="147" customFormat="false" ht="13.5" hidden="false" customHeight="true" outlineLevel="0" collapsed="false">
      <c r="A147" s="9" t="s">
        <v>428</v>
      </c>
      <c r="B147" s="9" t="s">
        <v>429</v>
      </c>
      <c r="C147" s="9" t="s">
        <v>49</v>
      </c>
      <c r="D147" s="9"/>
      <c r="E147" s="10" t="n">
        <v>3</v>
      </c>
      <c r="F147" s="11" t="str">
        <f aca="false">HYPERLINK("#Records!A3253","Read record →")</f>
        <v>Read record →</v>
      </c>
      <c r="G147" s="12"/>
      <c r="H147" s="13"/>
      <c r="I147" s="14"/>
      <c r="J147" s="12"/>
    </row>
    <row r="148" customFormat="false" ht="13.5" hidden="false" customHeight="true" outlineLevel="0" collapsed="false">
      <c r="A148" s="9" t="s">
        <v>430</v>
      </c>
      <c r="B148" s="9" t="s">
        <v>431</v>
      </c>
      <c r="C148" s="9" t="s">
        <v>53</v>
      </c>
      <c r="D148" s="9" t="s">
        <v>50</v>
      </c>
      <c r="E148" s="10" t="n">
        <v>3</v>
      </c>
      <c r="F148" s="11" t="str">
        <f aca="false">HYPERLINK("#Records!A3265","Read record →")</f>
        <v>Read record →</v>
      </c>
      <c r="G148" s="12"/>
      <c r="H148" s="13"/>
      <c r="I148" s="14"/>
      <c r="J148" s="12"/>
    </row>
    <row r="149" customFormat="false" ht="42" hidden="false" customHeight="true" outlineLevel="0" collapsed="false">
      <c r="A149" s="9" t="s">
        <v>432</v>
      </c>
      <c r="B149" s="9" t="s">
        <v>433</v>
      </c>
      <c r="C149" s="9" t="s">
        <v>106</v>
      </c>
      <c r="D149" s="9" t="s">
        <v>434</v>
      </c>
      <c r="E149" s="10" t="n">
        <v>0</v>
      </c>
      <c r="F149" s="11" t="str">
        <f aca="false">HYPERLINK("#Records!A3277","Read record →")</f>
        <v>Read record →</v>
      </c>
      <c r="G149" s="12"/>
      <c r="H149" s="13"/>
      <c r="I149" s="14"/>
      <c r="J149" s="12"/>
    </row>
    <row r="150" customFormat="false" ht="13.5" hidden="false" customHeight="true" outlineLevel="0" collapsed="false">
      <c r="A150" s="9" t="s">
        <v>435</v>
      </c>
      <c r="B150" s="9" t="s">
        <v>436</v>
      </c>
      <c r="C150" s="9" t="s">
        <v>153</v>
      </c>
      <c r="D150" s="9" t="s">
        <v>50</v>
      </c>
      <c r="E150" s="10" t="n">
        <v>4</v>
      </c>
      <c r="F150" s="11" t="str">
        <f aca="false">HYPERLINK("#Records!A3287","Read record →")</f>
        <v>Read record →</v>
      </c>
      <c r="G150" s="12"/>
      <c r="H150" s="13"/>
      <c r="I150" s="14"/>
      <c r="J150" s="12"/>
    </row>
    <row r="151" customFormat="false" ht="13.5" hidden="false" customHeight="true" outlineLevel="0" collapsed="false">
      <c r="A151" s="9" t="s">
        <v>437</v>
      </c>
      <c r="B151" s="9" t="s">
        <v>438</v>
      </c>
      <c r="C151" s="9" t="s">
        <v>59</v>
      </c>
      <c r="D151" s="9"/>
      <c r="E151" s="10" t="n">
        <v>0</v>
      </c>
      <c r="F151" s="11" t="str">
        <f aca="false">HYPERLINK("#Records!A3300","Read record →")</f>
        <v>Read record →</v>
      </c>
      <c r="G151" s="12"/>
      <c r="H151" s="13"/>
      <c r="I151" s="14"/>
      <c r="J151" s="12"/>
    </row>
    <row r="152" customFormat="false" ht="27.75" hidden="false" customHeight="true" outlineLevel="0" collapsed="false">
      <c r="A152" s="9" t="s">
        <v>439</v>
      </c>
      <c r="B152" s="9" t="s">
        <v>440</v>
      </c>
      <c r="C152" s="9" t="s">
        <v>106</v>
      </c>
      <c r="D152" s="9" t="s">
        <v>441</v>
      </c>
      <c r="E152" s="10" t="n">
        <v>19</v>
      </c>
      <c r="F152" s="11" t="str">
        <f aca="false">HYPERLINK("#Records!A3310","Read record →")</f>
        <v>Read record →</v>
      </c>
      <c r="G152" s="12"/>
      <c r="H152" s="13"/>
      <c r="I152" s="14"/>
      <c r="J152" s="12"/>
    </row>
    <row r="153" customFormat="false" ht="13.5" hidden="false" customHeight="true" outlineLevel="0" collapsed="false">
      <c r="A153" s="9" t="s">
        <v>442</v>
      </c>
      <c r="B153" s="9" t="s">
        <v>443</v>
      </c>
      <c r="C153" s="9" t="s">
        <v>59</v>
      </c>
      <c r="D153" s="9" t="s">
        <v>50</v>
      </c>
      <c r="E153" s="10" t="n">
        <v>1</v>
      </c>
      <c r="F153" s="11" t="str">
        <f aca="false">HYPERLINK("#Records!A3338","Read record →")</f>
        <v>Read record →</v>
      </c>
      <c r="G153" s="12"/>
      <c r="H153" s="13"/>
      <c r="I153" s="14"/>
      <c r="J153" s="12"/>
    </row>
    <row r="154" customFormat="false" ht="13.5" hidden="false" customHeight="true" outlineLevel="0" collapsed="false">
      <c r="A154" s="9" t="s">
        <v>444</v>
      </c>
      <c r="B154" s="9" t="s">
        <v>445</v>
      </c>
      <c r="C154" s="9" t="s">
        <v>132</v>
      </c>
      <c r="D154" s="9" t="s">
        <v>35</v>
      </c>
      <c r="E154" s="10" t="n">
        <v>10</v>
      </c>
      <c r="F154" s="11" t="str">
        <f aca="false">HYPERLINK("#Records!A3348","Read record →")</f>
        <v>Read record →</v>
      </c>
      <c r="G154" s="12"/>
      <c r="H154" s="13"/>
      <c r="I154" s="14"/>
      <c r="J154" s="12"/>
    </row>
    <row r="155" customFormat="false" ht="27.75" hidden="false" customHeight="true" outlineLevel="0" collapsed="false">
      <c r="A155" s="9" t="s">
        <v>446</v>
      </c>
      <c r="B155" s="9" t="s">
        <v>447</v>
      </c>
      <c r="C155" s="9" t="s">
        <v>448</v>
      </c>
      <c r="D155" s="9" t="s">
        <v>35</v>
      </c>
      <c r="E155" s="10" t="n">
        <v>2</v>
      </c>
      <c r="F155" s="11" t="str">
        <f aca="false">HYPERLINK("#Records!A3367","Read record →")</f>
        <v>Read record →</v>
      </c>
      <c r="G155" s="12"/>
      <c r="H155" s="13"/>
      <c r="I155" s="14"/>
      <c r="J155" s="12"/>
    </row>
  </sheetData>
  <autoFilter ref="A4:J155"/>
  <dataValidations count="3">
    <dataValidation allowBlank="true" error="Pick W, D, H or U." errorStyle="stop" errorTitle="Label" operator="between" showDropDown="false" showErrorMessage="true" showInputMessage="false" sqref="G6:G155" type="list">
      <formula1>"W,D,H,U"</formula1>
      <formula2>0</formula2>
    </dataValidation>
    <dataValidation allowBlank="true" error="Pick W, D, H or U, or leave blank." errorStyle="stop" errorTitle="After web check" operator="between" showDropDown="false" showErrorMessage="true" showInputMessage="false" sqref="J6:J155" type="list">
      <formula1>"W,D,H,U"</formula1>
      <formula2>0</formula2>
    </dataValidation>
    <dataValidation allowBlank="true" error="Pick 1 (sure) or 2 (judgment call)." errorStyle="stop" errorTitle="Sure?" operator="between" showDropDown="false" showErrorMessage="true" showInputMessage="false" sqref="H6:H155" type="list">
      <formula1>"1,2"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3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5" hidden="false" customHeight="false" outlineLevel="0" collapsed="false">
      <c r="A1" s="15" t="s">
        <v>39</v>
      </c>
      <c r="B1" s="15" t="s">
        <v>449</v>
      </c>
    </row>
    <row r="2" customFormat="false" ht="15" hidden="false" customHeight="false" outlineLevel="0" collapsed="false">
      <c r="B2" s="16" t="str">
        <f aca="false">HYPERLINK("#Label!G6","← Back to label (row 6)")</f>
        <v>← Back to label (row 6)</v>
      </c>
    </row>
    <row r="3" customFormat="false" ht="27.75" hidden="false" customHeight="true" outlineLevel="0" collapsed="false">
      <c r="A3" s="17" t="s">
        <v>24</v>
      </c>
      <c r="B3" s="18" t="s">
        <v>41</v>
      </c>
    </row>
    <row r="4" customFormat="false" ht="13.5" hidden="false" customHeight="true" outlineLevel="0" collapsed="false">
      <c r="A4" s="17" t="s">
        <v>450</v>
      </c>
      <c r="B4" s="4" t="s">
        <v>451</v>
      </c>
    </row>
    <row r="5" customFormat="false" ht="13.5" hidden="false" customHeight="true" outlineLevel="0" collapsed="false">
      <c r="A5" s="17" t="s">
        <v>452</v>
      </c>
      <c r="B5" s="18" t="s">
        <v>453</v>
      </c>
    </row>
    <row r="6" customFormat="false" ht="69.75" hidden="false" customHeight="true" outlineLevel="0" collapsed="false">
      <c r="A6" s="17" t="s">
        <v>454</v>
      </c>
      <c r="B6" s="4" t="s">
        <v>455</v>
      </c>
    </row>
    <row r="7" customFormat="false" ht="13.5" hidden="false" customHeight="true" outlineLevel="0" collapsed="false">
      <c r="A7" s="17" t="s">
        <v>456</v>
      </c>
      <c r="B7" s="19" t="s">
        <v>457</v>
      </c>
    </row>
    <row r="8" customFormat="false" ht="13.5" hidden="false" customHeight="true" outlineLevel="0" collapsed="false">
      <c r="A8" s="17" t="s">
        <v>458</v>
      </c>
      <c r="B8" s="4" t="s">
        <v>459</v>
      </c>
    </row>
    <row r="9" customFormat="false" ht="13.5" hidden="false" customHeight="true" outlineLevel="0" collapsed="false">
      <c r="A9" s="17"/>
      <c r="B9" s="18" t="s">
        <v>460</v>
      </c>
    </row>
    <row r="10" customFormat="false" ht="13.5" hidden="false" customHeight="true" outlineLevel="0" collapsed="false">
      <c r="A10" s="17"/>
      <c r="B10" s="4" t="s">
        <v>461</v>
      </c>
    </row>
    <row r="11" customFormat="false" ht="13.5" hidden="false" customHeight="true" outlineLevel="0" collapsed="false">
      <c r="A11" s="17"/>
      <c r="B11" s="18" t="s">
        <v>462</v>
      </c>
    </row>
    <row r="12" customFormat="false" ht="13.5" hidden="false" customHeight="true" outlineLevel="0" collapsed="false">
      <c r="A12" s="17"/>
      <c r="B12" s="4" t="s">
        <v>463</v>
      </c>
    </row>
    <row r="13" customFormat="false" ht="13.5" hidden="false" customHeight="true" outlineLevel="0" collapsed="false">
      <c r="A13" s="17"/>
      <c r="B13" s="18" t="s">
        <v>464</v>
      </c>
    </row>
    <row r="14" customFormat="false" ht="13.5" hidden="false" customHeight="true" outlineLevel="0" collapsed="false">
      <c r="A14" s="17"/>
      <c r="B14" s="4" t="s">
        <v>465</v>
      </c>
    </row>
    <row r="15" customFormat="false" ht="27.75" hidden="false" customHeight="true" outlineLevel="0" collapsed="false">
      <c r="A15" s="17"/>
      <c r="B15" s="18" t="s">
        <v>466</v>
      </c>
    </row>
    <row r="16" customFormat="false" ht="27.75" hidden="false" customHeight="true" outlineLevel="0" collapsed="false">
      <c r="A16" s="17"/>
      <c r="B16" s="4" t="s">
        <v>467</v>
      </c>
    </row>
    <row r="17" customFormat="false" ht="13.5" hidden="false" customHeight="true" outlineLevel="0" collapsed="false">
      <c r="A17" s="17"/>
      <c r="B17" s="18" t="s">
        <v>468</v>
      </c>
    </row>
    <row r="18" customFormat="false" ht="27.75" hidden="false" customHeight="true" outlineLevel="0" collapsed="false">
      <c r="A18" s="17"/>
      <c r="B18" s="4" t="s">
        <v>469</v>
      </c>
    </row>
    <row r="19" customFormat="false" ht="27.75" hidden="false" customHeight="true" outlineLevel="0" collapsed="false">
      <c r="A19" s="17"/>
      <c r="B19" s="18" t="s">
        <v>470</v>
      </c>
    </row>
    <row r="20" customFormat="false" ht="13.5" hidden="false" customHeight="true" outlineLevel="0" collapsed="false">
      <c r="A20" s="17"/>
      <c r="B20" s="4" t="s">
        <v>471</v>
      </c>
    </row>
    <row r="21" customFormat="false" ht="13.5" hidden="false" customHeight="true" outlineLevel="0" collapsed="false">
      <c r="A21" s="17"/>
      <c r="B21" s="18" t="s">
        <v>472</v>
      </c>
    </row>
    <row r="22" customFormat="false" ht="13.5" hidden="false" customHeight="true" outlineLevel="0" collapsed="false">
      <c r="A22" s="17"/>
      <c r="B22" s="4" t="s">
        <v>473</v>
      </c>
    </row>
    <row r="23" customFormat="false" ht="27.75" hidden="false" customHeight="true" outlineLevel="0" collapsed="false">
      <c r="A23" s="17"/>
      <c r="B23" s="18" t="s">
        <v>474</v>
      </c>
    </row>
    <row r="24" customFormat="false" ht="13.5" hidden="false" customHeight="true" outlineLevel="0" collapsed="false">
      <c r="A24" s="17"/>
      <c r="B24" s="4" t="s">
        <v>475</v>
      </c>
    </row>
    <row r="25" customFormat="false" ht="13.5" hidden="false" customHeight="true" outlineLevel="0" collapsed="false">
      <c r="A25" s="17"/>
      <c r="B25" s="18" t="s">
        <v>476</v>
      </c>
    </row>
    <row r="26" customFormat="false" ht="13.5" hidden="false" customHeight="true" outlineLevel="0" collapsed="false">
      <c r="A26" s="17"/>
      <c r="B26" s="4" t="s">
        <v>477</v>
      </c>
    </row>
    <row r="27" customFormat="false" ht="13.5" hidden="false" customHeight="true" outlineLevel="0" collapsed="false">
      <c r="A27" s="17"/>
      <c r="B27" s="18" t="s">
        <v>478</v>
      </c>
    </row>
    <row r="28" customFormat="false" ht="13.5" hidden="false" customHeight="true" outlineLevel="0" collapsed="false">
      <c r="A28" s="17"/>
      <c r="B28" s="4" t="s">
        <v>479</v>
      </c>
    </row>
    <row r="29" customFormat="false" ht="13.5" hidden="false" customHeight="true" outlineLevel="0" collapsed="false">
      <c r="A29" s="17"/>
      <c r="B29" s="18" t="s">
        <v>480</v>
      </c>
    </row>
    <row r="30" customFormat="false" ht="13.5" hidden="false" customHeight="true" outlineLevel="0" collapsed="false">
      <c r="A30" s="17"/>
      <c r="B30" s="4" t="s">
        <v>481</v>
      </c>
    </row>
    <row r="31" customFormat="false" ht="13.5" hidden="false" customHeight="true" outlineLevel="0" collapsed="false">
      <c r="A31" s="17"/>
      <c r="B31" s="18" t="s">
        <v>482</v>
      </c>
    </row>
    <row r="32" customFormat="false" ht="27.75" hidden="false" customHeight="true" outlineLevel="0" collapsed="false">
      <c r="A32" s="17"/>
      <c r="B32" s="4" t="s">
        <v>483</v>
      </c>
    </row>
    <row r="35" customFormat="false" ht="15" hidden="false" customHeight="false" outlineLevel="0" collapsed="false">
      <c r="A35" s="15" t="s">
        <v>43</v>
      </c>
      <c r="B35" s="15" t="s">
        <v>484</v>
      </c>
    </row>
    <row r="36" customFormat="false" ht="15" hidden="false" customHeight="false" outlineLevel="0" collapsed="false">
      <c r="B36" s="16" t="str">
        <f aca="false">HYPERLINK("#Label!G7","← Back to label (row 7)")</f>
        <v>← Back to label (row 7)</v>
      </c>
    </row>
    <row r="37" customFormat="false" ht="13.5" hidden="false" customHeight="true" outlineLevel="0" collapsed="false">
      <c r="A37" s="17" t="s">
        <v>24</v>
      </c>
      <c r="B37" s="18" t="s">
        <v>45</v>
      </c>
    </row>
    <row r="38" customFormat="false" ht="13.5" hidden="false" customHeight="true" outlineLevel="0" collapsed="false">
      <c r="A38" s="17" t="s">
        <v>450</v>
      </c>
      <c r="B38" s="4" t="s">
        <v>485</v>
      </c>
    </row>
    <row r="39" customFormat="false" ht="13.5" hidden="false" customHeight="true" outlineLevel="0" collapsed="false">
      <c r="A39" s="17" t="s">
        <v>454</v>
      </c>
      <c r="B39" s="19" t="s">
        <v>486</v>
      </c>
    </row>
    <row r="40" customFormat="false" ht="13.5" hidden="false" customHeight="true" outlineLevel="0" collapsed="false">
      <c r="A40" s="17" t="s">
        <v>456</v>
      </c>
      <c r="B40" s="20" t="s">
        <v>457</v>
      </c>
    </row>
    <row r="41" customFormat="false" ht="13.5" hidden="false" customHeight="true" outlineLevel="0" collapsed="false">
      <c r="A41" s="17" t="s">
        <v>487</v>
      </c>
      <c r="B41" s="18" t="s">
        <v>488</v>
      </c>
    </row>
    <row r="42" customFormat="false" ht="13.5" hidden="false" customHeight="true" outlineLevel="0" collapsed="false">
      <c r="A42" s="17"/>
      <c r="B42" s="4" t="s">
        <v>489</v>
      </c>
    </row>
    <row r="43" customFormat="false" ht="13.5" hidden="false" customHeight="true" outlineLevel="0" collapsed="false">
      <c r="A43" s="17"/>
      <c r="B43" s="18" t="s">
        <v>490</v>
      </c>
    </row>
    <row r="44" customFormat="false" ht="13.5" hidden="false" customHeight="true" outlineLevel="0" collapsed="false">
      <c r="A44" s="17"/>
      <c r="B44" s="4" t="s">
        <v>491</v>
      </c>
    </row>
    <row r="45" customFormat="false" ht="27.75" hidden="false" customHeight="true" outlineLevel="0" collapsed="false">
      <c r="A45" s="17"/>
      <c r="B45" s="18" t="s">
        <v>492</v>
      </c>
    </row>
    <row r="46" customFormat="false" ht="13.5" hidden="false" customHeight="true" outlineLevel="0" collapsed="false">
      <c r="A46" s="17"/>
      <c r="B46" s="4" t="s">
        <v>493</v>
      </c>
    </row>
    <row r="47" customFormat="false" ht="13.5" hidden="false" customHeight="true" outlineLevel="0" collapsed="false">
      <c r="A47" s="17"/>
      <c r="B47" s="18" t="s">
        <v>494</v>
      </c>
    </row>
    <row r="48" customFormat="false" ht="13.5" hidden="false" customHeight="true" outlineLevel="0" collapsed="false">
      <c r="A48" s="17"/>
      <c r="B48" s="4" t="s">
        <v>495</v>
      </c>
    </row>
    <row r="49" customFormat="false" ht="27.75" hidden="false" customHeight="true" outlineLevel="0" collapsed="false">
      <c r="A49" s="17"/>
      <c r="B49" s="18" t="s">
        <v>496</v>
      </c>
    </row>
    <row r="50" customFormat="false" ht="27.75" hidden="false" customHeight="true" outlineLevel="0" collapsed="false">
      <c r="A50" s="17"/>
      <c r="B50" s="4" t="s">
        <v>497</v>
      </c>
    </row>
    <row r="53" customFormat="false" ht="15" hidden="false" customHeight="false" outlineLevel="0" collapsed="false">
      <c r="A53" s="15" t="s">
        <v>47</v>
      </c>
      <c r="B53" s="15" t="s">
        <v>498</v>
      </c>
    </row>
    <row r="54" customFormat="false" ht="15" hidden="false" customHeight="false" outlineLevel="0" collapsed="false">
      <c r="B54" s="16" t="str">
        <f aca="false">HYPERLINK("#Label!G8","← Back to label (row 8)")</f>
        <v>← Back to label (row 8)</v>
      </c>
    </row>
    <row r="55" customFormat="false" ht="13.5" hidden="false" customHeight="true" outlineLevel="0" collapsed="false">
      <c r="A55" s="17" t="s">
        <v>24</v>
      </c>
      <c r="B55" s="18" t="s">
        <v>49</v>
      </c>
    </row>
    <row r="56" customFormat="false" ht="13.5" hidden="false" customHeight="true" outlineLevel="0" collapsed="false">
      <c r="A56" s="17" t="s">
        <v>450</v>
      </c>
      <c r="B56" s="4" t="s">
        <v>499</v>
      </c>
    </row>
    <row r="57" customFormat="false" ht="13.5" hidden="false" customHeight="true" outlineLevel="0" collapsed="false">
      <c r="A57" s="17" t="s">
        <v>454</v>
      </c>
      <c r="B57" s="19" t="s">
        <v>486</v>
      </c>
    </row>
    <row r="58" customFormat="false" ht="13.5" hidden="false" customHeight="true" outlineLevel="0" collapsed="false">
      <c r="A58" s="17" t="s">
        <v>456</v>
      </c>
      <c r="B58" s="20" t="s">
        <v>457</v>
      </c>
    </row>
    <row r="59" customFormat="false" ht="13.5" hidden="false" customHeight="true" outlineLevel="0" collapsed="false">
      <c r="A59" s="17" t="s">
        <v>500</v>
      </c>
      <c r="B59" s="18" t="s">
        <v>501</v>
      </c>
    </row>
    <row r="60" customFormat="false" ht="13.5" hidden="false" customHeight="true" outlineLevel="0" collapsed="false">
      <c r="A60" s="17"/>
      <c r="B60" s="4" t="s">
        <v>502</v>
      </c>
    </row>
    <row r="61" customFormat="false" ht="13.5" hidden="false" customHeight="true" outlineLevel="0" collapsed="false">
      <c r="A61" s="17"/>
      <c r="B61" s="18" t="s">
        <v>503</v>
      </c>
    </row>
    <row r="64" customFormat="false" ht="15" hidden="false" customHeight="false" outlineLevel="0" collapsed="false">
      <c r="A64" s="15" t="s">
        <v>51</v>
      </c>
      <c r="B64" s="15" t="s">
        <v>504</v>
      </c>
    </row>
    <row r="65" customFormat="false" ht="15" hidden="false" customHeight="false" outlineLevel="0" collapsed="false">
      <c r="B65" s="16" t="str">
        <f aca="false">HYPERLINK("#Label!G9","← Back to label (row 9)")</f>
        <v>← Back to label (row 9)</v>
      </c>
    </row>
    <row r="66" customFormat="false" ht="13.5" hidden="false" customHeight="true" outlineLevel="0" collapsed="false">
      <c r="A66" s="17" t="s">
        <v>24</v>
      </c>
      <c r="B66" s="18" t="s">
        <v>53</v>
      </c>
    </row>
    <row r="67" customFormat="false" ht="13.5" hidden="false" customHeight="true" outlineLevel="0" collapsed="false">
      <c r="A67" s="17" t="s">
        <v>450</v>
      </c>
      <c r="B67" s="4" t="s">
        <v>505</v>
      </c>
    </row>
    <row r="68" customFormat="false" ht="13.5" hidden="false" customHeight="true" outlineLevel="0" collapsed="false">
      <c r="A68" s="17" t="s">
        <v>452</v>
      </c>
      <c r="B68" s="18" t="s">
        <v>506</v>
      </c>
    </row>
    <row r="69" customFormat="false" ht="126" hidden="false" customHeight="true" outlineLevel="0" collapsed="false">
      <c r="A69" s="17" t="s">
        <v>454</v>
      </c>
      <c r="B69" s="4" t="s">
        <v>507</v>
      </c>
    </row>
    <row r="70" customFormat="false" ht="13.5" hidden="false" customHeight="true" outlineLevel="0" collapsed="false">
      <c r="A70" s="17" t="s">
        <v>456</v>
      </c>
      <c r="B70" s="19" t="s">
        <v>457</v>
      </c>
    </row>
    <row r="71" customFormat="false" ht="13.5" hidden="false" customHeight="true" outlineLevel="0" collapsed="false">
      <c r="A71" s="17" t="s">
        <v>508</v>
      </c>
      <c r="B71" s="20" t="s">
        <v>509</v>
      </c>
    </row>
    <row r="74" customFormat="false" ht="15" hidden="false" customHeight="false" outlineLevel="0" collapsed="false">
      <c r="A74" s="15" t="s">
        <v>54</v>
      </c>
      <c r="B74" s="15" t="s">
        <v>510</v>
      </c>
    </row>
    <row r="75" customFormat="false" ht="15" hidden="false" customHeight="false" outlineLevel="0" collapsed="false">
      <c r="B75" s="16" t="str">
        <f aca="false">HYPERLINK("#Label!G10","← Back to label (row 10)")</f>
        <v>← Back to label (row 10)</v>
      </c>
    </row>
    <row r="76" customFormat="false" ht="13.5" hidden="false" customHeight="true" outlineLevel="0" collapsed="false">
      <c r="A76" s="17" t="s">
        <v>24</v>
      </c>
      <c r="B76" s="18" t="s">
        <v>56</v>
      </c>
    </row>
    <row r="77" customFormat="false" ht="13.5" hidden="false" customHeight="true" outlineLevel="0" collapsed="false">
      <c r="A77" s="17" t="s">
        <v>450</v>
      </c>
      <c r="B77" s="4" t="s">
        <v>511</v>
      </c>
    </row>
    <row r="78" customFormat="false" ht="13.5" hidden="false" customHeight="true" outlineLevel="0" collapsed="false">
      <c r="A78" s="17" t="s">
        <v>452</v>
      </c>
      <c r="B78" s="18" t="s">
        <v>512</v>
      </c>
    </row>
    <row r="79" customFormat="false" ht="97.5" hidden="false" customHeight="true" outlineLevel="0" collapsed="false">
      <c r="A79" s="17" t="s">
        <v>454</v>
      </c>
      <c r="B79" s="4" t="s">
        <v>513</v>
      </c>
    </row>
    <row r="80" customFormat="false" ht="13.5" hidden="false" customHeight="true" outlineLevel="0" collapsed="false">
      <c r="A80" s="17" t="s">
        <v>456</v>
      </c>
      <c r="B80" s="19" t="s">
        <v>457</v>
      </c>
    </row>
    <row r="81" customFormat="false" ht="13.5" hidden="false" customHeight="true" outlineLevel="0" collapsed="false">
      <c r="A81" s="17" t="s">
        <v>514</v>
      </c>
      <c r="B81" s="4" t="s">
        <v>515</v>
      </c>
    </row>
    <row r="82" customFormat="false" ht="13.5" hidden="false" customHeight="true" outlineLevel="0" collapsed="false">
      <c r="A82" s="17"/>
      <c r="B82" s="18" t="s">
        <v>516</v>
      </c>
    </row>
    <row r="85" customFormat="false" ht="15" hidden="false" customHeight="false" outlineLevel="0" collapsed="false">
      <c r="A85" s="15" t="s">
        <v>57</v>
      </c>
      <c r="B85" s="15" t="s">
        <v>517</v>
      </c>
    </row>
    <row r="86" customFormat="false" ht="15" hidden="false" customHeight="false" outlineLevel="0" collapsed="false">
      <c r="B86" s="16" t="str">
        <f aca="false">HYPERLINK("#Label!G11","← Back to label (row 11)")</f>
        <v>← Back to label (row 11)</v>
      </c>
    </row>
    <row r="87" customFormat="false" ht="13.5" hidden="false" customHeight="true" outlineLevel="0" collapsed="false">
      <c r="A87" s="17" t="s">
        <v>24</v>
      </c>
      <c r="B87" s="18" t="s">
        <v>59</v>
      </c>
    </row>
    <row r="88" customFormat="false" ht="13.5" hidden="false" customHeight="true" outlineLevel="0" collapsed="false">
      <c r="A88" s="17" t="s">
        <v>450</v>
      </c>
      <c r="B88" s="4" t="s">
        <v>518</v>
      </c>
    </row>
    <row r="89" customFormat="false" ht="13.5" hidden="false" customHeight="true" outlineLevel="0" collapsed="false">
      <c r="A89" s="17" t="s">
        <v>454</v>
      </c>
      <c r="B89" s="19" t="s">
        <v>486</v>
      </c>
    </row>
    <row r="90" customFormat="false" ht="13.5" hidden="false" customHeight="true" outlineLevel="0" collapsed="false">
      <c r="A90" s="17" t="s">
        <v>456</v>
      </c>
      <c r="B90" s="20" t="s">
        <v>457</v>
      </c>
    </row>
    <row r="91" customFormat="false" ht="27.75" hidden="false" customHeight="true" outlineLevel="0" collapsed="false">
      <c r="A91" s="17" t="s">
        <v>519</v>
      </c>
      <c r="B91" s="18" t="s">
        <v>520</v>
      </c>
    </row>
    <row r="94" customFormat="false" ht="15" hidden="false" customHeight="false" outlineLevel="0" collapsed="false">
      <c r="A94" s="15" t="s">
        <v>60</v>
      </c>
      <c r="B94" s="15" t="s">
        <v>521</v>
      </c>
    </row>
    <row r="95" customFormat="false" ht="15" hidden="false" customHeight="false" outlineLevel="0" collapsed="false">
      <c r="B95" s="16" t="str">
        <f aca="false">HYPERLINK("#Label!G12","← Back to label (row 12)")</f>
        <v>← Back to label (row 12)</v>
      </c>
    </row>
    <row r="96" customFormat="false" ht="13.5" hidden="false" customHeight="true" outlineLevel="0" collapsed="false">
      <c r="A96" s="17" t="s">
        <v>24</v>
      </c>
      <c r="B96" s="18" t="s">
        <v>53</v>
      </c>
    </row>
    <row r="97" customFormat="false" ht="13.5" hidden="false" customHeight="true" outlineLevel="0" collapsed="false">
      <c r="A97" s="17" t="s">
        <v>450</v>
      </c>
      <c r="B97" s="4" t="s">
        <v>522</v>
      </c>
    </row>
    <row r="98" customFormat="false" ht="13.5" hidden="false" customHeight="true" outlineLevel="0" collapsed="false">
      <c r="A98" s="17" t="s">
        <v>452</v>
      </c>
      <c r="B98" s="18" t="s">
        <v>523</v>
      </c>
    </row>
    <row r="99" customFormat="false" ht="168" hidden="false" customHeight="true" outlineLevel="0" collapsed="false">
      <c r="A99" s="17" t="s">
        <v>454</v>
      </c>
      <c r="B99" s="4" t="s">
        <v>524</v>
      </c>
    </row>
    <row r="100" customFormat="false" ht="13.5" hidden="false" customHeight="true" outlineLevel="0" collapsed="false">
      <c r="A100" s="17" t="s">
        <v>456</v>
      </c>
      <c r="B100" s="19" t="s">
        <v>457</v>
      </c>
    </row>
    <row r="101" customFormat="false" ht="13.5" hidden="false" customHeight="true" outlineLevel="0" collapsed="false">
      <c r="A101" s="17" t="s">
        <v>525</v>
      </c>
      <c r="B101" s="4" t="s">
        <v>526</v>
      </c>
    </row>
    <row r="102" customFormat="false" ht="13.5" hidden="false" customHeight="true" outlineLevel="0" collapsed="false">
      <c r="A102" s="17"/>
      <c r="B102" s="18" t="s">
        <v>527</v>
      </c>
    </row>
    <row r="103" customFormat="false" ht="13.5" hidden="false" customHeight="true" outlineLevel="0" collapsed="false">
      <c r="A103" s="17"/>
      <c r="B103" s="4" t="s">
        <v>528</v>
      </c>
    </row>
    <row r="104" customFormat="false" ht="13.5" hidden="false" customHeight="true" outlineLevel="0" collapsed="false">
      <c r="A104" s="17"/>
      <c r="B104" s="18" t="s">
        <v>529</v>
      </c>
    </row>
    <row r="105" customFormat="false" ht="13.5" hidden="false" customHeight="true" outlineLevel="0" collapsed="false">
      <c r="A105" s="17"/>
      <c r="B105" s="4" t="s">
        <v>530</v>
      </c>
    </row>
    <row r="106" customFormat="false" ht="13.5" hidden="false" customHeight="true" outlineLevel="0" collapsed="false">
      <c r="A106" s="17"/>
      <c r="B106" s="18" t="s">
        <v>531</v>
      </c>
    </row>
    <row r="107" customFormat="false" ht="13.5" hidden="false" customHeight="true" outlineLevel="0" collapsed="false">
      <c r="A107" s="17"/>
      <c r="B107" s="4" t="s">
        <v>532</v>
      </c>
    </row>
    <row r="108" customFormat="false" ht="13.5" hidden="false" customHeight="true" outlineLevel="0" collapsed="false">
      <c r="A108" s="17"/>
      <c r="B108" s="18" t="s">
        <v>533</v>
      </c>
    </row>
    <row r="109" customFormat="false" ht="13.5" hidden="false" customHeight="true" outlineLevel="0" collapsed="false">
      <c r="A109" s="17"/>
      <c r="B109" s="4" t="s">
        <v>534</v>
      </c>
    </row>
    <row r="110" customFormat="false" ht="13.5" hidden="false" customHeight="true" outlineLevel="0" collapsed="false">
      <c r="A110" s="17"/>
      <c r="B110" s="18" t="s">
        <v>535</v>
      </c>
    </row>
    <row r="111" customFormat="false" ht="13.5" hidden="false" customHeight="true" outlineLevel="0" collapsed="false">
      <c r="A111" s="17"/>
      <c r="B111" s="4" t="s">
        <v>536</v>
      </c>
    </row>
    <row r="112" customFormat="false" ht="13.5" hidden="false" customHeight="true" outlineLevel="0" collapsed="false">
      <c r="A112" s="17"/>
      <c r="B112" s="18" t="s">
        <v>537</v>
      </c>
    </row>
    <row r="113" customFormat="false" ht="13.5" hidden="false" customHeight="true" outlineLevel="0" collapsed="false">
      <c r="A113" s="17"/>
      <c r="B113" s="4" t="s">
        <v>538</v>
      </c>
    </row>
    <row r="114" customFormat="false" ht="13.5" hidden="false" customHeight="true" outlineLevel="0" collapsed="false">
      <c r="A114" s="17"/>
      <c r="B114" s="18" t="s">
        <v>539</v>
      </c>
    </row>
    <row r="115" customFormat="false" ht="13.5" hidden="false" customHeight="true" outlineLevel="0" collapsed="false">
      <c r="A115" s="17"/>
      <c r="B115" s="4" t="s">
        <v>540</v>
      </c>
    </row>
    <row r="116" customFormat="false" ht="13.5" hidden="false" customHeight="true" outlineLevel="0" collapsed="false">
      <c r="A116" s="17"/>
      <c r="B116" s="18" t="s">
        <v>541</v>
      </c>
    </row>
    <row r="117" customFormat="false" ht="13.5" hidden="false" customHeight="true" outlineLevel="0" collapsed="false">
      <c r="A117" s="17"/>
      <c r="B117" s="4" t="s">
        <v>542</v>
      </c>
    </row>
    <row r="118" customFormat="false" ht="13.5" hidden="false" customHeight="true" outlineLevel="0" collapsed="false">
      <c r="A118" s="17"/>
      <c r="B118" s="18" t="s">
        <v>543</v>
      </c>
    </row>
    <row r="119" customFormat="false" ht="13.5" hidden="false" customHeight="true" outlineLevel="0" collapsed="false">
      <c r="A119" s="17"/>
      <c r="B119" s="4" t="s">
        <v>544</v>
      </c>
    </row>
    <row r="120" customFormat="false" ht="13.5" hidden="false" customHeight="true" outlineLevel="0" collapsed="false">
      <c r="A120" s="17"/>
      <c r="B120" s="18" t="s">
        <v>545</v>
      </c>
    </row>
    <row r="121" customFormat="false" ht="13.5" hidden="false" customHeight="true" outlineLevel="0" collapsed="false">
      <c r="A121" s="17"/>
      <c r="B121" s="4" t="s">
        <v>546</v>
      </c>
    </row>
    <row r="122" customFormat="false" ht="27.75" hidden="false" customHeight="true" outlineLevel="0" collapsed="false">
      <c r="A122" s="17"/>
      <c r="B122" s="18" t="s">
        <v>547</v>
      </c>
    </row>
    <row r="123" customFormat="false" ht="13.5" hidden="false" customHeight="true" outlineLevel="0" collapsed="false">
      <c r="A123" s="17"/>
      <c r="B123" s="4" t="s">
        <v>548</v>
      </c>
    </row>
    <row r="124" customFormat="false" ht="13.5" hidden="false" customHeight="true" outlineLevel="0" collapsed="false">
      <c r="A124" s="17"/>
      <c r="B124" s="18" t="s">
        <v>549</v>
      </c>
    </row>
    <row r="125" customFormat="false" ht="13.5" hidden="false" customHeight="true" outlineLevel="0" collapsed="false">
      <c r="A125" s="17"/>
      <c r="B125" s="4" t="s">
        <v>550</v>
      </c>
    </row>
    <row r="126" customFormat="false" ht="13.5" hidden="false" customHeight="true" outlineLevel="0" collapsed="false">
      <c r="A126" s="17"/>
      <c r="B126" s="18" t="s">
        <v>551</v>
      </c>
    </row>
    <row r="127" customFormat="false" ht="13.5" hidden="false" customHeight="true" outlineLevel="0" collapsed="false">
      <c r="A127" s="17"/>
      <c r="B127" s="4" t="s">
        <v>552</v>
      </c>
    </row>
    <row r="128" customFormat="false" ht="13.5" hidden="false" customHeight="true" outlineLevel="0" collapsed="false">
      <c r="A128" s="17"/>
      <c r="B128" s="18" t="s">
        <v>553</v>
      </c>
    </row>
    <row r="129" customFormat="false" ht="13.5" hidden="false" customHeight="true" outlineLevel="0" collapsed="false">
      <c r="A129" s="17"/>
      <c r="B129" s="4" t="s">
        <v>554</v>
      </c>
    </row>
    <row r="130" customFormat="false" ht="13.5" hidden="false" customHeight="true" outlineLevel="0" collapsed="false">
      <c r="A130" s="17"/>
      <c r="B130" s="18" t="s">
        <v>555</v>
      </c>
    </row>
    <row r="131" customFormat="false" ht="13.5" hidden="false" customHeight="true" outlineLevel="0" collapsed="false">
      <c r="A131" s="17"/>
      <c r="B131" s="4" t="s">
        <v>556</v>
      </c>
    </row>
    <row r="132" customFormat="false" ht="13.5" hidden="false" customHeight="true" outlineLevel="0" collapsed="false">
      <c r="A132" s="17"/>
      <c r="B132" s="18" t="s">
        <v>557</v>
      </c>
    </row>
    <row r="133" customFormat="false" ht="13.5" hidden="false" customHeight="true" outlineLevel="0" collapsed="false">
      <c r="A133" s="17"/>
      <c r="B133" s="4" t="s">
        <v>558</v>
      </c>
    </row>
    <row r="134" customFormat="false" ht="13.5" hidden="false" customHeight="true" outlineLevel="0" collapsed="false">
      <c r="A134" s="17"/>
      <c r="B134" s="18" t="s">
        <v>559</v>
      </c>
    </row>
    <row r="137" customFormat="false" ht="15" hidden="false" customHeight="false" outlineLevel="0" collapsed="false">
      <c r="A137" s="15" t="s">
        <v>62</v>
      </c>
      <c r="B137" s="15" t="s">
        <v>560</v>
      </c>
    </row>
    <row r="138" customFormat="false" ht="15" hidden="false" customHeight="false" outlineLevel="0" collapsed="false">
      <c r="B138" s="16" t="str">
        <f aca="false">HYPERLINK("#Label!G13","← Back to label (row 13)")</f>
        <v>← Back to label (row 13)</v>
      </c>
    </row>
    <row r="139" customFormat="false" ht="42" hidden="false" customHeight="true" outlineLevel="0" collapsed="false">
      <c r="A139" s="17" t="s">
        <v>24</v>
      </c>
      <c r="B139" s="18" t="s">
        <v>64</v>
      </c>
    </row>
    <row r="140" customFormat="false" ht="13.5" hidden="false" customHeight="true" outlineLevel="0" collapsed="false">
      <c r="A140" s="17" t="s">
        <v>450</v>
      </c>
      <c r="B140" s="4" t="s">
        <v>561</v>
      </c>
    </row>
    <row r="141" customFormat="false" ht="13.5" hidden="false" customHeight="true" outlineLevel="0" collapsed="false">
      <c r="A141" s="17" t="s">
        <v>452</v>
      </c>
      <c r="B141" s="18" t="s">
        <v>562</v>
      </c>
    </row>
    <row r="142" customFormat="false" ht="69.75" hidden="false" customHeight="true" outlineLevel="0" collapsed="false">
      <c r="A142" s="17" t="s">
        <v>454</v>
      </c>
      <c r="B142" s="4" t="s">
        <v>563</v>
      </c>
    </row>
    <row r="143" customFormat="false" ht="13.5" hidden="false" customHeight="true" outlineLevel="0" collapsed="false">
      <c r="A143" s="17" t="s">
        <v>456</v>
      </c>
      <c r="B143" s="19" t="s">
        <v>457</v>
      </c>
    </row>
    <row r="144" customFormat="false" ht="13.5" hidden="false" customHeight="true" outlineLevel="0" collapsed="false">
      <c r="A144" s="17" t="s">
        <v>564</v>
      </c>
      <c r="B144" s="4" t="s">
        <v>565</v>
      </c>
    </row>
    <row r="145" customFormat="false" ht="13.5" hidden="false" customHeight="true" outlineLevel="0" collapsed="false">
      <c r="A145" s="17"/>
      <c r="B145" s="18" t="s">
        <v>566</v>
      </c>
    </row>
    <row r="146" customFormat="false" ht="13.5" hidden="false" customHeight="true" outlineLevel="0" collapsed="false">
      <c r="A146" s="17"/>
      <c r="B146" s="4" t="s">
        <v>567</v>
      </c>
    </row>
    <row r="147" customFormat="false" ht="27.75" hidden="false" customHeight="true" outlineLevel="0" collapsed="false">
      <c r="A147" s="17"/>
      <c r="B147" s="18" t="s">
        <v>568</v>
      </c>
    </row>
    <row r="148" customFormat="false" ht="13.5" hidden="false" customHeight="true" outlineLevel="0" collapsed="false">
      <c r="A148" s="17"/>
      <c r="B148" s="4" t="s">
        <v>569</v>
      </c>
    </row>
    <row r="149" customFormat="false" ht="13.5" hidden="false" customHeight="true" outlineLevel="0" collapsed="false">
      <c r="A149" s="17"/>
      <c r="B149" s="18" t="s">
        <v>570</v>
      </c>
    </row>
    <row r="152" customFormat="false" ht="15" hidden="false" customHeight="false" outlineLevel="0" collapsed="false">
      <c r="A152" s="15" t="s">
        <v>65</v>
      </c>
      <c r="B152" s="15" t="s">
        <v>571</v>
      </c>
    </row>
    <row r="153" customFormat="false" ht="15" hidden="false" customHeight="false" outlineLevel="0" collapsed="false">
      <c r="B153" s="16" t="str">
        <f aca="false">HYPERLINK("#Label!G14","← Back to label (row 14)")</f>
        <v>← Back to label (row 14)</v>
      </c>
    </row>
    <row r="154" customFormat="false" ht="13.5" hidden="false" customHeight="true" outlineLevel="0" collapsed="false">
      <c r="A154" s="17" t="s">
        <v>24</v>
      </c>
      <c r="B154" s="18" t="s">
        <v>67</v>
      </c>
    </row>
    <row r="155" customFormat="false" ht="13.5" hidden="false" customHeight="true" outlineLevel="0" collapsed="false">
      <c r="A155" s="17" t="s">
        <v>450</v>
      </c>
      <c r="B155" s="4" t="s">
        <v>572</v>
      </c>
    </row>
    <row r="156" customFormat="false" ht="13.5" hidden="false" customHeight="true" outlineLevel="0" collapsed="false">
      <c r="A156" s="17" t="s">
        <v>452</v>
      </c>
      <c r="B156" s="18" t="s">
        <v>573</v>
      </c>
    </row>
    <row r="157" customFormat="false" ht="111.75" hidden="false" customHeight="true" outlineLevel="0" collapsed="false">
      <c r="A157" s="17" t="s">
        <v>454</v>
      </c>
      <c r="B157" s="4" t="s">
        <v>574</v>
      </c>
    </row>
    <row r="158" customFormat="false" ht="13.5" hidden="false" customHeight="true" outlineLevel="0" collapsed="false">
      <c r="A158" s="17" t="s">
        <v>456</v>
      </c>
      <c r="B158" s="19" t="s">
        <v>457</v>
      </c>
    </row>
    <row r="159" customFormat="false" ht="13.5" hidden="false" customHeight="true" outlineLevel="0" collapsed="false">
      <c r="A159" s="17" t="s">
        <v>508</v>
      </c>
      <c r="B159" s="20" t="s">
        <v>509</v>
      </c>
    </row>
    <row r="162" customFormat="false" ht="15" hidden="false" customHeight="false" outlineLevel="0" collapsed="false">
      <c r="A162" s="15" t="s">
        <v>69</v>
      </c>
      <c r="B162" s="15" t="s">
        <v>575</v>
      </c>
    </row>
    <row r="163" customFormat="false" ht="15" hidden="false" customHeight="false" outlineLevel="0" collapsed="false">
      <c r="B163" s="16" t="str">
        <f aca="false">HYPERLINK("#Label!G15","← Back to label (row 15)")</f>
        <v>← Back to label (row 15)</v>
      </c>
    </row>
    <row r="164" customFormat="false" ht="13.5" hidden="false" customHeight="true" outlineLevel="0" collapsed="false">
      <c r="A164" s="17" t="s">
        <v>24</v>
      </c>
      <c r="B164" s="18" t="s">
        <v>71</v>
      </c>
    </row>
    <row r="165" customFormat="false" ht="13.5" hidden="false" customHeight="true" outlineLevel="0" collapsed="false">
      <c r="A165" s="17" t="s">
        <v>450</v>
      </c>
      <c r="B165" s="4" t="s">
        <v>576</v>
      </c>
    </row>
    <row r="166" customFormat="false" ht="13.5" hidden="false" customHeight="true" outlineLevel="0" collapsed="false">
      <c r="A166" s="17" t="s">
        <v>454</v>
      </c>
      <c r="B166" s="19" t="s">
        <v>486</v>
      </c>
    </row>
    <row r="167" customFormat="false" ht="13.5" hidden="false" customHeight="true" outlineLevel="0" collapsed="false">
      <c r="A167" s="17" t="s">
        <v>456</v>
      </c>
      <c r="B167" s="20" t="s">
        <v>457</v>
      </c>
    </row>
    <row r="168" customFormat="false" ht="13.5" hidden="false" customHeight="true" outlineLevel="0" collapsed="false">
      <c r="A168" s="17" t="s">
        <v>577</v>
      </c>
      <c r="B168" s="18" t="s">
        <v>578</v>
      </c>
    </row>
    <row r="169" customFormat="false" ht="27.75" hidden="false" customHeight="true" outlineLevel="0" collapsed="false">
      <c r="A169" s="17"/>
      <c r="B169" s="4" t="s">
        <v>579</v>
      </c>
    </row>
    <row r="170" customFormat="false" ht="13.5" hidden="false" customHeight="true" outlineLevel="0" collapsed="false">
      <c r="A170" s="17"/>
      <c r="B170" s="18" t="s">
        <v>580</v>
      </c>
    </row>
    <row r="171" customFormat="false" ht="13.5" hidden="false" customHeight="true" outlineLevel="0" collapsed="false">
      <c r="A171" s="17"/>
      <c r="B171" s="4" t="s">
        <v>581</v>
      </c>
    </row>
    <row r="172" customFormat="false" ht="13.5" hidden="false" customHeight="true" outlineLevel="0" collapsed="false">
      <c r="A172" s="17"/>
      <c r="B172" s="18" t="s">
        <v>582</v>
      </c>
    </row>
    <row r="173" customFormat="false" ht="13.5" hidden="false" customHeight="true" outlineLevel="0" collapsed="false">
      <c r="A173" s="17"/>
      <c r="B173" s="4" t="s">
        <v>583</v>
      </c>
    </row>
    <row r="174" customFormat="false" ht="13.5" hidden="false" customHeight="true" outlineLevel="0" collapsed="false">
      <c r="A174" s="17"/>
      <c r="B174" s="18" t="s">
        <v>584</v>
      </c>
    </row>
    <row r="175" customFormat="false" ht="27.75" hidden="false" customHeight="true" outlineLevel="0" collapsed="false">
      <c r="A175" s="17"/>
      <c r="B175" s="4" t="s">
        <v>585</v>
      </c>
    </row>
    <row r="176" customFormat="false" ht="13.5" hidden="false" customHeight="true" outlineLevel="0" collapsed="false">
      <c r="A176" s="17"/>
      <c r="B176" s="18" t="s">
        <v>586</v>
      </c>
    </row>
    <row r="177" customFormat="false" ht="27.75" hidden="false" customHeight="true" outlineLevel="0" collapsed="false">
      <c r="A177" s="17"/>
      <c r="B177" s="4" t="s">
        <v>587</v>
      </c>
    </row>
    <row r="178" customFormat="false" ht="27.75" hidden="false" customHeight="true" outlineLevel="0" collapsed="false">
      <c r="A178" s="17"/>
      <c r="B178" s="18" t="s">
        <v>588</v>
      </c>
    </row>
    <row r="179" customFormat="false" ht="27.75" hidden="false" customHeight="true" outlineLevel="0" collapsed="false">
      <c r="A179" s="17"/>
      <c r="B179" s="4" t="s">
        <v>589</v>
      </c>
    </row>
    <row r="180" customFormat="false" ht="13.5" hidden="false" customHeight="true" outlineLevel="0" collapsed="false">
      <c r="A180" s="17"/>
      <c r="B180" s="18" t="s">
        <v>590</v>
      </c>
    </row>
    <row r="181" customFormat="false" ht="27.75" hidden="false" customHeight="true" outlineLevel="0" collapsed="false">
      <c r="A181" s="17"/>
      <c r="B181" s="4" t="s">
        <v>591</v>
      </c>
    </row>
    <row r="182" customFormat="false" ht="13.5" hidden="false" customHeight="true" outlineLevel="0" collapsed="false">
      <c r="A182" s="17"/>
      <c r="B182" s="18" t="s">
        <v>592</v>
      </c>
    </row>
    <row r="183" customFormat="false" ht="13.5" hidden="false" customHeight="true" outlineLevel="0" collapsed="false">
      <c r="A183" s="17"/>
      <c r="B183" s="4" t="s">
        <v>593</v>
      </c>
    </row>
    <row r="184" customFormat="false" ht="27.75" hidden="false" customHeight="true" outlineLevel="0" collapsed="false">
      <c r="A184" s="17"/>
      <c r="B184" s="18" t="s">
        <v>594</v>
      </c>
    </row>
    <row r="185" customFormat="false" ht="27.75" hidden="false" customHeight="true" outlineLevel="0" collapsed="false">
      <c r="A185" s="17"/>
      <c r="B185" s="4" t="s">
        <v>595</v>
      </c>
    </row>
    <row r="186" customFormat="false" ht="27.75" hidden="false" customHeight="true" outlineLevel="0" collapsed="false">
      <c r="A186" s="17"/>
      <c r="B186" s="18" t="s">
        <v>596</v>
      </c>
    </row>
    <row r="187" customFormat="false" ht="13.5" hidden="false" customHeight="true" outlineLevel="0" collapsed="false">
      <c r="A187" s="17"/>
      <c r="B187" s="4" t="s">
        <v>597</v>
      </c>
    </row>
    <row r="190" customFormat="false" ht="15" hidden="false" customHeight="false" outlineLevel="0" collapsed="false">
      <c r="A190" s="15" t="s">
        <v>73</v>
      </c>
      <c r="B190" s="15" t="s">
        <v>598</v>
      </c>
    </row>
    <row r="191" customFormat="false" ht="15" hidden="false" customHeight="false" outlineLevel="0" collapsed="false">
      <c r="B191" s="16" t="str">
        <f aca="false">HYPERLINK("#Label!G16","← Back to label (row 16)")</f>
        <v>← Back to label (row 16)</v>
      </c>
    </row>
    <row r="192" customFormat="false" ht="13.5" hidden="false" customHeight="true" outlineLevel="0" collapsed="false">
      <c r="A192" s="17" t="s">
        <v>24</v>
      </c>
      <c r="B192" s="18" t="s">
        <v>75</v>
      </c>
    </row>
    <row r="193" customFormat="false" ht="13.5" hidden="false" customHeight="true" outlineLevel="0" collapsed="false">
      <c r="A193" s="17" t="s">
        <v>450</v>
      </c>
      <c r="B193" s="4" t="s">
        <v>599</v>
      </c>
    </row>
    <row r="194" customFormat="false" ht="13.5" hidden="false" customHeight="true" outlineLevel="0" collapsed="false">
      <c r="A194" s="17" t="s">
        <v>452</v>
      </c>
      <c r="B194" s="18" t="s">
        <v>600</v>
      </c>
    </row>
    <row r="195" customFormat="false" ht="13.5" hidden="false" customHeight="true" outlineLevel="0" collapsed="false">
      <c r="A195" s="17" t="s">
        <v>454</v>
      </c>
      <c r="B195" s="20" t="s">
        <v>486</v>
      </c>
    </row>
    <row r="196" customFormat="false" ht="13.5" hidden="false" customHeight="true" outlineLevel="0" collapsed="false">
      <c r="A196" s="17" t="s">
        <v>456</v>
      </c>
      <c r="B196" s="18" t="s">
        <v>601</v>
      </c>
    </row>
    <row r="197" customFormat="false" ht="13.5" hidden="false" customHeight="true" outlineLevel="0" collapsed="false">
      <c r="A197" s="17" t="s">
        <v>602</v>
      </c>
      <c r="B197" s="4" t="s">
        <v>603</v>
      </c>
    </row>
    <row r="198" customFormat="false" ht="13.5" hidden="false" customHeight="true" outlineLevel="0" collapsed="false">
      <c r="A198" s="17"/>
      <c r="B198" s="18" t="s">
        <v>604</v>
      </c>
    </row>
    <row r="199" customFormat="false" ht="27.75" hidden="false" customHeight="true" outlineLevel="0" collapsed="false">
      <c r="A199" s="17"/>
      <c r="B199" s="4" t="s">
        <v>605</v>
      </c>
    </row>
    <row r="200" customFormat="false" ht="27.75" hidden="false" customHeight="true" outlineLevel="0" collapsed="false">
      <c r="A200" s="17"/>
      <c r="B200" s="18" t="s">
        <v>606</v>
      </c>
    </row>
    <row r="201" customFormat="false" ht="13.5" hidden="false" customHeight="true" outlineLevel="0" collapsed="false">
      <c r="A201" s="17"/>
      <c r="B201" s="4" t="s">
        <v>607</v>
      </c>
    </row>
    <row r="202" customFormat="false" ht="13.5" hidden="false" customHeight="true" outlineLevel="0" collapsed="false">
      <c r="A202" s="17"/>
      <c r="B202" s="18" t="s">
        <v>608</v>
      </c>
    </row>
    <row r="203" customFormat="false" ht="13.5" hidden="false" customHeight="true" outlineLevel="0" collapsed="false">
      <c r="A203" s="17"/>
      <c r="B203" s="4" t="s">
        <v>609</v>
      </c>
    </row>
    <row r="204" customFormat="false" ht="13.5" hidden="false" customHeight="true" outlineLevel="0" collapsed="false">
      <c r="A204" s="17"/>
      <c r="B204" s="18" t="s">
        <v>610</v>
      </c>
    </row>
    <row r="205" customFormat="false" ht="13.5" hidden="false" customHeight="true" outlineLevel="0" collapsed="false">
      <c r="A205" s="17"/>
      <c r="B205" s="4" t="s">
        <v>611</v>
      </c>
    </row>
    <row r="206" customFormat="false" ht="13.5" hidden="false" customHeight="true" outlineLevel="0" collapsed="false">
      <c r="A206" s="17"/>
      <c r="B206" s="18" t="s">
        <v>612</v>
      </c>
    </row>
    <row r="207" customFormat="false" ht="13.5" hidden="false" customHeight="true" outlineLevel="0" collapsed="false">
      <c r="A207" s="17"/>
      <c r="B207" s="4" t="s">
        <v>613</v>
      </c>
    </row>
    <row r="208" customFormat="false" ht="27.75" hidden="false" customHeight="true" outlineLevel="0" collapsed="false">
      <c r="A208" s="17"/>
      <c r="B208" s="18" t="s">
        <v>614</v>
      </c>
    </row>
    <row r="209" customFormat="false" ht="27.75" hidden="false" customHeight="true" outlineLevel="0" collapsed="false">
      <c r="A209" s="17"/>
      <c r="B209" s="4" t="s">
        <v>615</v>
      </c>
    </row>
    <row r="210" customFormat="false" ht="27.75" hidden="false" customHeight="true" outlineLevel="0" collapsed="false">
      <c r="A210" s="17"/>
      <c r="B210" s="18" t="s">
        <v>616</v>
      </c>
    </row>
    <row r="211" customFormat="false" ht="27.75" hidden="false" customHeight="true" outlineLevel="0" collapsed="false">
      <c r="A211" s="17"/>
      <c r="B211" s="4" t="s">
        <v>617</v>
      </c>
    </row>
    <row r="212" customFormat="false" ht="13.5" hidden="false" customHeight="true" outlineLevel="0" collapsed="false">
      <c r="A212" s="17"/>
      <c r="B212" s="18" t="s">
        <v>618</v>
      </c>
    </row>
    <row r="213" customFormat="false" ht="13.5" hidden="false" customHeight="true" outlineLevel="0" collapsed="false">
      <c r="A213" s="17"/>
      <c r="B213" s="4" t="s">
        <v>619</v>
      </c>
    </row>
    <row r="214" customFormat="false" ht="13.5" hidden="false" customHeight="true" outlineLevel="0" collapsed="false">
      <c r="A214" s="17"/>
      <c r="B214" s="18" t="s">
        <v>620</v>
      </c>
    </row>
    <row r="215" customFormat="false" ht="13.5" hidden="false" customHeight="true" outlineLevel="0" collapsed="false">
      <c r="A215" s="17"/>
      <c r="B215" s="4" t="s">
        <v>621</v>
      </c>
    </row>
    <row r="216" customFormat="false" ht="13.5" hidden="false" customHeight="true" outlineLevel="0" collapsed="false">
      <c r="A216" s="17"/>
      <c r="B216" s="18" t="s">
        <v>622</v>
      </c>
    </row>
    <row r="217" customFormat="false" ht="13.5" hidden="false" customHeight="true" outlineLevel="0" collapsed="false">
      <c r="A217" s="17"/>
      <c r="B217" s="4" t="s">
        <v>623</v>
      </c>
    </row>
    <row r="218" customFormat="false" ht="13.5" hidden="false" customHeight="true" outlineLevel="0" collapsed="false">
      <c r="A218" s="17"/>
      <c r="B218" s="18" t="s">
        <v>624</v>
      </c>
    </row>
    <row r="219" customFormat="false" ht="13.5" hidden="false" customHeight="true" outlineLevel="0" collapsed="false">
      <c r="A219" s="17"/>
      <c r="B219" s="4" t="s">
        <v>625</v>
      </c>
    </row>
    <row r="220" customFormat="false" ht="13.5" hidden="false" customHeight="true" outlineLevel="0" collapsed="false">
      <c r="A220" s="17"/>
      <c r="B220" s="18" t="s">
        <v>626</v>
      </c>
    </row>
    <row r="221" customFormat="false" ht="13.5" hidden="false" customHeight="true" outlineLevel="0" collapsed="false">
      <c r="A221" s="17"/>
      <c r="B221" s="4" t="s">
        <v>627</v>
      </c>
    </row>
    <row r="222" customFormat="false" ht="27.75" hidden="false" customHeight="true" outlineLevel="0" collapsed="false">
      <c r="A222" s="17"/>
      <c r="B222" s="18" t="s">
        <v>628</v>
      </c>
    </row>
    <row r="223" customFormat="false" ht="27.75" hidden="false" customHeight="true" outlineLevel="0" collapsed="false">
      <c r="A223" s="17"/>
      <c r="B223" s="4" t="s">
        <v>629</v>
      </c>
    </row>
    <row r="224" customFormat="false" ht="27.75" hidden="false" customHeight="true" outlineLevel="0" collapsed="false">
      <c r="A224" s="17"/>
      <c r="B224" s="18" t="s">
        <v>630</v>
      </c>
    </row>
    <row r="225" customFormat="false" ht="13.5" hidden="false" customHeight="true" outlineLevel="0" collapsed="false">
      <c r="A225" s="17"/>
      <c r="B225" s="4" t="s">
        <v>631</v>
      </c>
    </row>
    <row r="226" customFormat="false" ht="27.75" hidden="false" customHeight="true" outlineLevel="0" collapsed="false">
      <c r="A226" s="17"/>
      <c r="B226" s="18" t="s">
        <v>632</v>
      </c>
    </row>
    <row r="227" customFormat="false" ht="27.75" hidden="false" customHeight="true" outlineLevel="0" collapsed="false">
      <c r="A227" s="17"/>
      <c r="B227" s="4" t="s">
        <v>633</v>
      </c>
    </row>
    <row r="228" customFormat="false" ht="13.5" hidden="false" customHeight="true" outlineLevel="0" collapsed="false">
      <c r="A228" s="17"/>
      <c r="B228" s="18" t="s">
        <v>634</v>
      </c>
    </row>
    <row r="229" customFormat="false" ht="13.5" hidden="false" customHeight="true" outlineLevel="0" collapsed="false">
      <c r="A229" s="17"/>
      <c r="B229" s="4" t="s">
        <v>635</v>
      </c>
    </row>
    <row r="230" customFormat="false" ht="13.5" hidden="false" customHeight="true" outlineLevel="0" collapsed="false">
      <c r="A230" s="17"/>
      <c r="B230" s="18" t="s">
        <v>636</v>
      </c>
    </row>
    <row r="231" customFormat="false" ht="27.75" hidden="false" customHeight="true" outlineLevel="0" collapsed="false">
      <c r="A231" s="17"/>
      <c r="B231" s="4" t="s">
        <v>637</v>
      </c>
    </row>
    <row r="232" customFormat="false" ht="13.5" hidden="false" customHeight="true" outlineLevel="0" collapsed="false">
      <c r="A232" s="17"/>
      <c r="B232" s="18" t="s">
        <v>638</v>
      </c>
    </row>
    <row r="233" customFormat="false" ht="13.5" hidden="false" customHeight="true" outlineLevel="0" collapsed="false">
      <c r="A233" s="17"/>
      <c r="B233" s="4" t="s">
        <v>639</v>
      </c>
    </row>
    <row r="234" customFormat="false" ht="13.5" hidden="false" customHeight="true" outlineLevel="0" collapsed="false">
      <c r="A234" s="17"/>
      <c r="B234" s="18" t="s">
        <v>640</v>
      </c>
    </row>
    <row r="235" customFormat="false" ht="13.5" hidden="false" customHeight="true" outlineLevel="0" collapsed="false">
      <c r="A235" s="17"/>
      <c r="B235" s="4" t="s">
        <v>641</v>
      </c>
    </row>
    <row r="236" customFormat="false" ht="13.5" hidden="false" customHeight="true" outlineLevel="0" collapsed="false">
      <c r="A236" s="17"/>
      <c r="B236" s="18" t="s">
        <v>642</v>
      </c>
    </row>
    <row r="237" customFormat="false" ht="13.5" hidden="false" customHeight="true" outlineLevel="0" collapsed="false">
      <c r="A237" s="17"/>
      <c r="B237" s="4" t="s">
        <v>643</v>
      </c>
    </row>
    <row r="238" customFormat="false" ht="13.5" hidden="false" customHeight="true" outlineLevel="0" collapsed="false">
      <c r="A238" s="17"/>
      <c r="B238" s="18" t="s">
        <v>644</v>
      </c>
    </row>
    <row r="239" customFormat="false" ht="13.5" hidden="false" customHeight="true" outlineLevel="0" collapsed="false">
      <c r="A239" s="17"/>
      <c r="B239" s="4" t="s">
        <v>645</v>
      </c>
    </row>
    <row r="240" customFormat="false" ht="13.5" hidden="false" customHeight="true" outlineLevel="0" collapsed="false">
      <c r="A240" s="17"/>
      <c r="B240" s="18" t="s">
        <v>646</v>
      </c>
    </row>
    <row r="241" customFormat="false" ht="13.5" hidden="false" customHeight="true" outlineLevel="0" collapsed="false">
      <c r="A241" s="17"/>
      <c r="B241" s="4" t="s">
        <v>647</v>
      </c>
    </row>
    <row r="242" customFormat="false" ht="13.5" hidden="false" customHeight="true" outlineLevel="0" collapsed="false">
      <c r="A242" s="17"/>
      <c r="B242" s="18" t="s">
        <v>648</v>
      </c>
    </row>
    <row r="243" customFormat="false" ht="13.5" hidden="false" customHeight="true" outlineLevel="0" collapsed="false">
      <c r="A243" s="17"/>
      <c r="B243" s="4" t="s">
        <v>649</v>
      </c>
    </row>
    <row r="244" customFormat="false" ht="13.5" hidden="false" customHeight="true" outlineLevel="0" collapsed="false">
      <c r="A244" s="17"/>
      <c r="B244" s="18" t="s">
        <v>650</v>
      </c>
    </row>
    <row r="245" customFormat="false" ht="13.5" hidden="false" customHeight="true" outlineLevel="0" collapsed="false">
      <c r="A245" s="17"/>
      <c r="B245" s="4" t="s">
        <v>651</v>
      </c>
    </row>
    <row r="246" customFormat="false" ht="13.5" hidden="false" customHeight="true" outlineLevel="0" collapsed="false">
      <c r="A246" s="17"/>
      <c r="B246" s="18" t="s">
        <v>652</v>
      </c>
    </row>
    <row r="247" customFormat="false" ht="13.5" hidden="false" customHeight="true" outlineLevel="0" collapsed="false">
      <c r="A247" s="17"/>
      <c r="B247" s="4" t="s">
        <v>653</v>
      </c>
    </row>
    <row r="248" customFormat="false" ht="13.5" hidden="false" customHeight="true" outlineLevel="0" collapsed="false">
      <c r="A248" s="17"/>
      <c r="B248" s="18" t="s">
        <v>654</v>
      </c>
    </row>
    <row r="249" customFormat="false" ht="13.5" hidden="false" customHeight="true" outlineLevel="0" collapsed="false">
      <c r="A249" s="17"/>
      <c r="B249" s="4" t="s">
        <v>655</v>
      </c>
    </row>
    <row r="250" customFormat="false" ht="13.5" hidden="false" customHeight="true" outlineLevel="0" collapsed="false">
      <c r="A250" s="17"/>
      <c r="B250" s="18" t="s">
        <v>656</v>
      </c>
    </row>
    <row r="251" customFormat="false" ht="13.5" hidden="false" customHeight="true" outlineLevel="0" collapsed="false">
      <c r="A251" s="17"/>
      <c r="B251" s="4" t="s">
        <v>657</v>
      </c>
    </row>
    <row r="252" customFormat="false" ht="13.5" hidden="false" customHeight="true" outlineLevel="0" collapsed="false">
      <c r="A252" s="17"/>
      <c r="B252" s="18" t="s">
        <v>658</v>
      </c>
    </row>
    <row r="253" customFormat="false" ht="13.5" hidden="false" customHeight="true" outlineLevel="0" collapsed="false">
      <c r="A253" s="17"/>
      <c r="B253" s="4" t="s">
        <v>659</v>
      </c>
    </row>
    <row r="254" customFormat="false" ht="13.5" hidden="false" customHeight="true" outlineLevel="0" collapsed="false">
      <c r="A254" s="17"/>
      <c r="B254" s="18" t="s">
        <v>660</v>
      </c>
    </row>
    <row r="255" customFormat="false" ht="13.5" hidden="false" customHeight="true" outlineLevel="0" collapsed="false">
      <c r="A255" s="17"/>
      <c r="B255" s="4" t="s">
        <v>661</v>
      </c>
    </row>
    <row r="256" customFormat="false" ht="13.5" hidden="false" customHeight="true" outlineLevel="0" collapsed="false">
      <c r="A256" s="17"/>
      <c r="B256" s="18" t="s">
        <v>662</v>
      </c>
    </row>
    <row r="257" customFormat="false" ht="13.5" hidden="false" customHeight="true" outlineLevel="0" collapsed="false">
      <c r="A257" s="17"/>
      <c r="B257" s="20" t="s">
        <v>663</v>
      </c>
    </row>
    <row r="260" customFormat="false" ht="15" hidden="false" customHeight="false" outlineLevel="0" collapsed="false">
      <c r="A260" s="15" t="s">
        <v>77</v>
      </c>
      <c r="B260" s="15" t="s">
        <v>664</v>
      </c>
    </row>
    <row r="261" customFormat="false" ht="15" hidden="false" customHeight="false" outlineLevel="0" collapsed="false">
      <c r="B261" s="16" t="str">
        <f aca="false">HYPERLINK("#Label!G17","← Back to label (row 17)")</f>
        <v>← Back to label (row 17)</v>
      </c>
    </row>
    <row r="262" customFormat="false" ht="13.5" hidden="false" customHeight="true" outlineLevel="0" collapsed="false">
      <c r="A262" s="17" t="s">
        <v>24</v>
      </c>
      <c r="B262" s="18" t="s">
        <v>49</v>
      </c>
    </row>
    <row r="263" customFormat="false" ht="13.5" hidden="false" customHeight="true" outlineLevel="0" collapsed="false">
      <c r="A263" s="17" t="s">
        <v>450</v>
      </c>
      <c r="B263" s="4" t="s">
        <v>665</v>
      </c>
    </row>
    <row r="264" customFormat="false" ht="13.5" hidden="false" customHeight="true" outlineLevel="0" collapsed="false">
      <c r="A264" s="17" t="s">
        <v>454</v>
      </c>
      <c r="B264" s="19" t="s">
        <v>486</v>
      </c>
    </row>
    <row r="265" customFormat="false" ht="13.5" hidden="false" customHeight="true" outlineLevel="0" collapsed="false">
      <c r="A265" s="17" t="s">
        <v>456</v>
      </c>
      <c r="B265" s="20" t="s">
        <v>457</v>
      </c>
    </row>
    <row r="266" customFormat="false" ht="27.75" hidden="false" customHeight="true" outlineLevel="0" collapsed="false">
      <c r="A266" s="17" t="s">
        <v>519</v>
      </c>
      <c r="B266" s="18" t="s">
        <v>666</v>
      </c>
    </row>
    <row r="269" customFormat="false" ht="15" hidden="false" customHeight="false" outlineLevel="0" collapsed="false">
      <c r="A269" s="15" t="s">
        <v>79</v>
      </c>
      <c r="B269" s="15" t="s">
        <v>667</v>
      </c>
    </row>
    <row r="270" customFormat="false" ht="15" hidden="false" customHeight="false" outlineLevel="0" collapsed="false">
      <c r="B270" s="16" t="str">
        <f aca="false">HYPERLINK("#Label!G18","← Back to label (row 18)")</f>
        <v>← Back to label (row 18)</v>
      </c>
    </row>
    <row r="271" customFormat="false" ht="55.5" hidden="false" customHeight="true" outlineLevel="0" collapsed="false">
      <c r="A271" s="17" t="s">
        <v>24</v>
      </c>
      <c r="B271" s="18" t="s">
        <v>668</v>
      </c>
    </row>
    <row r="272" customFormat="false" ht="13.5" hidden="false" customHeight="true" outlineLevel="0" collapsed="false">
      <c r="A272" s="17" t="s">
        <v>450</v>
      </c>
      <c r="B272" s="4" t="s">
        <v>669</v>
      </c>
    </row>
    <row r="273" customFormat="false" ht="13.5" hidden="false" customHeight="true" outlineLevel="0" collapsed="false">
      <c r="A273" s="17" t="s">
        <v>452</v>
      </c>
      <c r="B273" s="18" t="s">
        <v>670</v>
      </c>
    </row>
    <row r="274" customFormat="false" ht="153.75" hidden="false" customHeight="true" outlineLevel="0" collapsed="false">
      <c r="A274" s="17" t="s">
        <v>454</v>
      </c>
      <c r="B274" s="4" t="s">
        <v>671</v>
      </c>
    </row>
    <row r="275" customFormat="false" ht="13.5" hidden="false" customHeight="true" outlineLevel="0" collapsed="false">
      <c r="A275" s="17" t="s">
        <v>456</v>
      </c>
      <c r="B275" s="18" t="s">
        <v>672</v>
      </c>
    </row>
    <row r="276" customFormat="false" ht="27.75" hidden="false" customHeight="true" outlineLevel="0" collapsed="false">
      <c r="A276" s="17" t="s">
        <v>673</v>
      </c>
      <c r="B276" s="4" t="s">
        <v>674</v>
      </c>
    </row>
    <row r="277" customFormat="false" ht="13.5" hidden="false" customHeight="true" outlineLevel="0" collapsed="false">
      <c r="A277" s="17"/>
      <c r="B277" s="18" t="s">
        <v>675</v>
      </c>
    </row>
    <row r="278" customFormat="false" ht="27.75" hidden="false" customHeight="true" outlineLevel="0" collapsed="false">
      <c r="A278" s="17"/>
      <c r="B278" s="4" t="s">
        <v>676</v>
      </c>
    </row>
    <row r="279" customFormat="false" ht="13.5" hidden="false" customHeight="true" outlineLevel="0" collapsed="false">
      <c r="A279" s="17"/>
      <c r="B279" s="18" t="s">
        <v>677</v>
      </c>
    </row>
    <row r="280" customFormat="false" ht="27.75" hidden="false" customHeight="true" outlineLevel="0" collapsed="false">
      <c r="A280" s="17"/>
      <c r="B280" s="4" t="s">
        <v>678</v>
      </c>
    </row>
    <row r="281" customFormat="false" ht="13.5" hidden="false" customHeight="true" outlineLevel="0" collapsed="false">
      <c r="A281" s="17"/>
      <c r="B281" s="18" t="s">
        <v>679</v>
      </c>
    </row>
    <row r="282" customFormat="false" ht="13.5" hidden="false" customHeight="true" outlineLevel="0" collapsed="false">
      <c r="A282" s="17"/>
      <c r="B282" s="4" t="s">
        <v>680</v>
      </c>
    </row>
    <row r="283" customFormat="false" ht="13.5" hidden="false" customHeight="true" outlineLevel="0" collapsed="false">
      <c r="A283" s="17"/>
      <c r="B283" s="18" t="s">
        <v>681</v>
      </c>
    </row>
    <row r="284" customFormat="false" ht="13.5" hidden="false" customHeight="true" outlineLevel="0" collapsed="false">
      <c r="A284" s="17"/>
      <c r="B284" s="4" t="s">
        <v>682</v>
      </c>
    </row>
    <row r="285" customFormat="false" ht="13.5" hidden="false" customHeight="true" outlineLevel="0" collapsed="false">
      <c r="A285" s="17"/>
      <c r="B285" s="18" t="s">
        <v>683</v>
      </c>
    </row>
    <row r="286" customFormat="false" ht="13.5" hidden="false" customHeight="true" outlineLevel="0" collapsed="false">
      <c r="A286" s="17"/>
      <c r="B286" s="4" t="s">
        <v>684</v>
      </c>
    </row>
    <row r="287" customFormat="false" ht="13.5" hidden="false" customHeight="true" outlineLevel="0" collapsed="false">
      <c r="A287" s="17"/>
      <c r="B287" s="18" t="s">
        <v>685</v>
      </c>
    </row>
    <row r="288" customFormat="false" ht="13.5" hidden="false" customHeight="true" outlineLevel="0" collapsed="false">
      <c r="A288" s="17"/>
      <c r="B288" s="4" t="s">
        <v>686</v>
      </c>
    </row>
    <row r="289" customFormat="false" ht="27.75" hidden="false" customHeight="true" outlineLevel="0" collapsed="false">
      <c r="A289" s="17"/>
      <c r="B289" s="18" t="s">
        <v>687</v>
      </c>
    </row>
    <row r="290" customFormat="false" ht="13.5" hidden="false" customHeight="true" outlineLevel="0" collapsed="false">
      <c r="A290" s="17"/>
      <c r="B290" s="4" t="s">
        <v>688</v>
      </c>
    </row>
    <row r="291" customFormat="false" ht="13.5" hidden="false" customHeight="true" outlineLevel="0" collapsed="false">
      <c r="A291" s="17"/>
      <c r="B291" s="18" t="s">
        <v>689</v>
      </c>
    </row>
    <row r="292" customFormat="false" ht="13.5" hidden="false" customHeight="true" outlineLevel="0" collapsed="false">
      <c r="A292" s="17"/>
      <c r="B292" s="4" t="s">
        <v>690</v>
      </c>
    </row>
    <row r="293" customFormat="false" ht="13.5" hidden="false" customHeight="true" outlineLevel="0" collapsed="false">
      <c r="A293" s="17"/>
      <c r="B293" s="18" t="s">
        <v>691</v>
      </c>
    </row>
    <row r="294" customFormat="false" ht="13.5" hidden="false" customHeight="true" outlineLevel="0" collapsed="false">
      <c r="A294" s="17"/>
      <c r="B294" s="4" t="s">
        <v>692</v>
      </c>
    </row>
    <row r="295" customFormat="false" ht="13.5" hidden="false" customHeight="true" outlineLevel="0" collapsed="false">
      <c r="A295" s="17"/>
      <c r="B295" s="18" t="s">
        <v>693</v>
      </c>
    </row>
    <row r="296" customFormat="false" ht="13.5" hidden="false" customHeight="true" outlineLevel="0" collapsed="false">
      <c r="A296" s="17"/>
      <c r="B296" s="4" t="s">
        <v>694</v>
      </c>
    </row>
    <row r="297" customFormat="false" ht="13.5" hidden="false" customHeight="true" outlineLevel="0" collapsed="false">
      <c r="A297" s="17"/>
      <c r="B297" s="18" t="s">
        <v>695</v>
      </c>
    </row>
    <row r="298" customFormat="false" ht="13.5" hidden="false" customHeight="true" outlineLevel="0" collapsed="false">
      <c r="A298" s="17"/>
      <c r="B298" s="4" t="s">
        <v>696</v>
      </c>
    </row>
    <row r="299" customFormat="false" ht="13.5" hidden="false" customHeight="true" outlineLevel="0" collapsed="false">
      <c r="A299" s="17"/>
      <c r="B299" s="18" t="s">
        <v>697</v>
      </c>
    </row>
    <row r="300" customFormat="false" ht="13.5" hidden="false" customHeight="true" outlineLevel="0" collapsed="false">
      <c r="A300" s="17"/>
      <c r="B300" s="4" t="s">
        <v>698</v>
      </c>
    </row>
    <row r="301" customFormat="false" ht="13.5" hidden="false" customHeight="true" outlineLevel="0" collapsed="false">
      <c r="A301" s="17"/>
      <c r="B301" s="18" t="s">
        <v>699</v>
      </c>
    </row>
    <row r="302" customFormat="false" ht="13.5" hidden="false" customHeight="true" outlineLevel="0" collapsed="false">
      <c r="A302" s="17"/>
      <c r="B302" s="4" t="s">
        <v>700</v>
      </c>
    </row>
    <row r="303" customFormat="false" ht="13.5" hidden="false" customHeight="true" outlineLevel="0" collapsed="false">
      <c r="A303" s="17"/>
      <c r="B303" s="18" t="s">
        <v>701</v>
      </c>
    </row>
    <row r="306" customFormat="false" ht="15" hidden="false" customHeight="false" outlineLevel="0" collapsed="false">
      <c r="A306" s="15" t="s">
        <v>83</v>
      </c>
      <c r="B306" s="15" t="s">
        <v>702</v>
      </c>
    </row>
    <row r="307" customFormat="false" ht="15" hidden="false" customHeight="false" outlineLevel="0" collapsed="false">
      <c r="B307" s="16" t="str">
        <f aca="false">HYPERLINK("#Label!G19","← Back to label (row 19)")</f>
        <v>← Back to label (row 19)</v>
      </c>
    </row>
    <row r="308" customFormat="false" ht="13.5" hidden="false" customHeight="true" outlineLevel="0" collapsed="false">
      <c r="A308" s="17" t="s">
        <v>24</v>
      </c>
      <c r="B308" s="18" t="s">
        <v>59</v>
      </c>
    </row>
    <row r="309" customFormat="false" ht="13.5" hidden="false" customHeight="true" outlineLevel="0" collapsed="false">
      <c r="A309" s="17" t="s">
        <v>450</v>
      </c>
      <c r="B309" s="4" t="s">
        <v>703</v>
      </c>
    </row>
    <row r="310" customFormat="false" ht="13.5" hidden="false" customHeight="true" outlineLevel="0" collapsed="false">
      <c r="A310" s="17" t="s">
        <v>454</v>
      </c>
      <c r="B310" s="19" t="s">
        <v>486</v>
      </c>
    </row>
    <row r="311" customFormat="false" ht="13.5" hidden="false" customHeight="true" outlineLevel="0" collapsed="false">
      <c r="A311" s="17" t="s">
        <v>456</v>
      </c>
      <c r="B311" s="20" t="s">
        <v>457</v>
      </c>
    </row>
    <row r="312" customFormat="false" ht="13.5" hidden="false" customHeight="true" outlineLevel="0" collapsed="false">
      <c r="A312" s="17" t="s">
        <v>704</v>
      </c>
      <c r="B312" s="18" t="s">
        <v>705</v>
      </c>
    </row>
    <row r="313" customFormat="false" ht="13.5" hidden="false" customHeight="true" outlineLevel="0" collapsed="false">
      <c r="A313" s="17"/>
      <c r="B313" s="4" t="s">
        <v>706</v>
      </c>
    </row>
    <row r="314" customFormat="false" ht="13.5" hidden="false" customHeight="true" outlineLevel="0" collapsed="false">
      <c r="A314" s="17"/>
      <c r="B314" s="18" t="s">
        <v>707</v>
      </c>
    </row>
    <row r="315" customFormat="false" ht="13.5" hidden="false" customHeight="true" outlineLevel="0" collapsed="false">
      <c r="A315" s="17"/>
      <c r="B315" s="4" t="s">
        <v>708</v>
      </c>
    </row>
    <row r="316" customFormat="false" ht="13.5" hidden="false" customHeight="true" outlineLevel="0" collapsed="false">
      <c r="A316" s="17"/>
      <c r="B316" s="18" t="s">
        <v>709</v>
      </c>
    </row>
    <row r="317" customFormat="false" ht="13.5" hidden="false" customHeight="true" outlineLevel="0" collapsed="false">
      <c r="A317" s="17"/>
      <c r="B317" s="4" t="s">
        <v>710</v>
      </c>
    </row>
    <row r="318" customFormat="false" ht="13.5" hidden="false" customHeight="true" outlineLevel="0" collapsed="false">
      <c r="A318" s="17"/>
      <c r="B318" s="18" t="s">
        <v>711</v>
      </c>
    </row>
    <row r="319" customFormat="false" ht="13.5" hidden="false" customHeight="true" outlineLevel="0" collapsed="false">
      <c r="A319" s="17"/>
      <c r="B319" s="4" t="s">
        <v>712</v>
      </c>
    </row>
    <row r="320" customFormat="false" ht="13.5" hidden="false" customHeight="true" outlineLevel="0" collapsed="false">
      <c r="A320" s="17"/>
      <c r="B320" s="18" t="s">
        <v>713</v>
      </c>
    </row>
    <row r="321" customFormat="false" ht="13.5" hidden="false" customHeight="true" outlineLevel="0" collapsed="false">
      <c r="A321" s="17"/>
      <c r="B321" s="4" t="s">
        <v>714</v>
      </c>
    </row>
    <row r="322" customFormat="false" ht="13.5" hidden="false" customHeight="true" outlineLevel="0" collapsed="false">
      <c r="A322" s="17"/>
      <c r="B322" s="18" t="s">
        <v>715</v>
      </c>
    </row>
    <row r="323" customFormat="false" ht="13.5" hidden="false" customHeight="true" outlineLevel="0" collapsed="false">
      <c r="A323" s="17"/>
      <c r="B323" s="4" t="s">
        <v>716</v>
      </c>
    </row>
    <row r="324" customFormat="false" ht="13.5" hidden="false" customHeight="true" outlineLevel="0" collapsed="false">
      <c r="A324" s="17"/>
      <c r="B324" s="18" t="s">
        <v>717</v>
      </c>
    </row>
    <row r="325" customFormat="false" ht="13.5" hidden="false" customHeight="true" outlineLevel="0" collapsed="false">
      <c r="A325" s="17"/>
      <c r="B325" s="4" t="s">
        <v>718</v>
      </c>
    </row>
    <row r="326" customFormat="false" ht="13.5" hidden="false" customHeight="true" outlineLevel="0" collapsed="false">
      <c r="A326" s="17"/>
      <c r="B326" s="18" t="s">
        <v>719</v>
      </c>
    </row>
    <row r="327" customFormat="false" ht="13.5" hidden="false" customHeight="true" outlineLevel="0" collapsed="false">
      <c r="A327" s="17"/>
      <c r="B327" s="4" t="s">
        <v>720</v>
      </c>
    </row>
    <row r="328" customFormat="false" ht="13.5" hidden="false" customHeight="true" outlineLevel="0" collapsed="false">
      <c r="A328" s="17"/>
      <c r="B328" s="18" t="s">
        <v>721</v>
      </c>
    </row>
    <row r="329" customFormat="false" ht="13.5" hidden="false" customHeight="true" outlineLevel="0" collapsed="false">
      <c r="A329" s="17"/>
      <c r="B329" s="4" t="s">
        <v>722</v>
      </c>
    </row>
    <row r="330" customFormat="false" ht="13.5" hidden="false" customHeight="true" outlineLevel="0" collapsed="false">
      <c r="A330" s="17"/>
      <c r="B330" s="18" t="s">
        <v>723</v>
      </c>
    </row>
    <row r="331" customFormat="false" ht="13.5" hidden="false" customHeight="true" outlineLevel="0" collapsed="false">
      <c r="A331" s="17"/>
      <c r="B331" s="4" t="s">
        <v>724</v>
      </c>
    </row>
    <row r="332" customFormat="false" ht="13.5" hidden="false" customHeight="true" outlineLevel="0" collapsed="false">
      <c r="A332" s="17"/>
      <c r="B332" s="18" t="s">
        <v>725</v>
      </c>
    </row>
    <row r="335" customFormat="false" ht="15" hidden="false" customHeight="false" outlineLevel="0" collapsed="false">
      <c r="A335" s="15" t="s">
        <v>85</v>
      </c>
      <c r="B335" s="15" t="s">
        <v>86</v>
      </c>
    </row>
    <row r="336" customFormat="false" ht="15" hidden="false" customHeight="false" outlineLevel="0" collapsed="false">
      <c r="B336" s="16" t="str">
        <f aca="false">HYPERLINK("#Label!G20","← Back to label (row 20)")</f>
        <v>← Back to label (row 20)</v>
      </c>
    </row>
    <row r="337" customFormat="false" ht="13.5" hidden="false" customHeight="true" outlineLevel="0" collapsed="false">
      <c r="A337" s="17" t="s">
        <v>24</v>
      </c>
      <c r="B337" s="18" t="s">
        <v>87</v>
      </c>
    </row>
    <row r="338" customFormat="false" ht="13.5" hidden="false" customHeight="true" outlineLevel="0" collapsed="false">
      <c r="A338" s="17" t="s">
        <v>450</v>
      </c>
      <c r="B338" s="4" t="s">
        <v>726</v>
      </c>
    </row>
    <row r="339" customFormat="false" ht="13.5" hidden="false" customHeight="true" outlineLevel="0" collapsed="false">
      <c r="A339" s="17" t="s">
        <v>452</v>
      </c>
      <c r="B339" s="18" t="s">
        <v>727</v>
      </c>
    </row>
    <row r="340" customFormat="false" ht="97.5" hidden="false" customHeight="true" outlineLevel="0" collapsed="false">
      <c r="A340" s="17" t="s">
        <v>454</v>
      </c>
      <c r="B340" s="4" t="s">
        <v>728</v>
      </c>
    </row>
    <row r="341" customFormat="false" ht="13.5" hidden="false" customHeight="true" outlineLevel="0" collapsed="false">
      <c r="A341" s="17" t="s">
        <v>456</v>
      </c>
      <c r="B341" s="19" t="s">
        <v>457</v>
      </c>
    </row>
    <row r="342" customFormat="false" ht="13.5" hidden="false" customHeight="true" outlineLevel="0" collapsed="false">
      <c r="A342" s="17" t="s">
        <v>729</v>
      </c>
      <c r="B342" s="4" t="s">
        <v>730</v>
      </c>
    </row>
    <row r="343" customFormat="false" ht="13.5" hidden="false" customHeight="true" outlineLevel="0" collapsed="false">
      <c r="A343" s="17"/>
      <c r="B343" s="18" t="s">
        <v>731</v>
      </c>
    </row>
    <row r="344" customFormat="false" ht="13.5" hidden="false" customHeight="true" outlineLevel="0" collapsed="false">
      <c r="A344" s="17"/>
      <c r="B344" s="4" t="s">
        <v>732</v>
      </c>
    </row>
    <row r="345" customFormat="false" ht="13.5" hidden="false" customHeight="true" outlineLevel="0" collapsed="false">
      <c r="A345" s="17"/>
      <c r="B345" s="18" t="s">
        <v>733</v>
      </c>
    </row>
    <row r="346" customFormat="false" ht="13.5" hidden="false" customHeight="true" outlineLevel="0" collapsed="false">
      <c r="A346" s="17"/>
      <c r="B346" s="4" t="s">
        <v>734</v>
      </c>
    </row>
    <row r="347" customFormat="false" ht="13.5" hidden="false" customHeight="true" outlineLevel="0" collapsed="false">
      <c r="A347" s="17"/>
      <c r="B347" s="18" t="s">
        <v>735</v>
      </c>
    </row>
    <row r="348" customFormat="false" ht="13.5" hidden="false" customHeight="true" outlineLevel="0" collapsed="false">
      <c r="A348" s="17"/>
      <c r="B348" s="4" t="s">
        <v>736</v>
      </c>
    </row>
    <row r="349" customFormat="false" ht="13.5" hidden="false" customHeight="true" outlineLevel="0" collapsed="false">
      <c r="A349" s="17"/>
      <c r="B349" s="18" t="s">
        <v>737</v>
      </c>
    </row>
    <row r="350" customFormat="false" ht="13.5" hidden="false" customHeight="true" outlineLevel="0" collapsed="false">
      <c r="A350" s="17"/>
      <c r="B350" s="4" t="s">
        <v>738</v>
      </c>
    </row>
    <row r="351" customFormat="false" ht="13.5" hidden="false" customHeight="true" outlineLevel="0" collapsed="false">
      <c r="A351" s="17"/>
      <c r="B351" s="18" t="s">
        <v>739</v>
      </c>
    </row>
    <row r="352" customFormat="false" ht="13.5" hidden="false" customHeight="true" outlineLevel="0" collapsed="false">
      <c r="A352" s="17"/>
      <c r="B352" s="4" t="s">
        <v>740</v>
      </c>
    </row>
    <row r="355" customFormat="false" ht="15" hidden="false" customHeight="false" outlineLevel="0" collapsed="false">
      <c r="A355" s="15" t="s">
        <v>88</v>
      </c>
      <c r="B355" s="15" t="s">
        <v>741</v>
      </c>
    </row>
    <row r="356" customFormat="false" ht="15" hidden="false" customHeight="false" outlineLevel="0" collapsed="false">
      <c r="B356" s="16" t="str">
        <f aca="false">HYPERLINK("#Label!G21","← Back to label (row 21)")</f>
        <v>← Back to label (row 21)</v>
      </c>
    </row>
    <row r="357" customFormat="false" ht="55.5" hidden="false" customHeight="true" outlineLevel="0" collapsed="false">
      <c r="A357" s="17" t="s">
        <v>24</v>
      </c>
      <c r="B357" s="18" t="s">
        <v>742</v>
      </c>
    </row>
    <row r="358" customFormat="false" ht="13.5" hidden="false" customHeight="true" outlineLevel="0" collapsed="false">
      <c r="A358" s="17" t="s">
        <v>450</v>
      </c>
      <c r="B358" s="4" t="s">
        <v>743</v>
      </c>
    </row>
    <row r="359" customFormat="false" ht="13.5" hidden="false" customHeight="true" outlineLevel="0" collapsed="false">
      <c r="A359" s="17" t="s">
        <v>452</v>
      </c>
      <c r="B359" s="18" t="s">
        <v>744</v>
      </c>
    </row>
    <row r="360" customFormat="false" ht="13.5" hidden="false" customHeight="true" outlineLevel="0" collapsed="false">
      <c r="A360" s="17" t="s">
        <v>454</v>
      </c>
      <c r="B360" s="20" t="s">
        <v>486</v>
      </c>
    </row>
    <row r="361" customFormat="false" ht="55.5" hidden="false" customHeight="true" outlineLevel="0" collapsed="false">
      <c r="A361" s="17" t="s">
        <v>456</v>
      </c>
      <c r="B361" s="18" t="s">
        <v>745</v>
      </c>
    </row>
    <row r="362" customFormat="false" ht="13.5" hidden="false" customHeight="true" outlineLevel="0" collapsed="false">
      <c r="A362" s="17" t="s">
        <v>746</v>
      </c>
      <c r="B362" s="4" t="s">
        <v>747</v>
      </c>
    </row>
    <row r="363" customFormat="false" ht="13.5" hidden="false" customHeight="true" outlineLevel="0" collapsed="false">
      <c r="A363" s="17"/>
      <c r="B363" s="18" t="s">
        <v>748</v>
      </c>
    </row>
    <row r="364" customFormat="false" ht="27.75" hidden="false" customHeight="true" outlineLevel="0" collapsed="false">
      <c r="A364" s="17"/>
      <c r="B364" s="4" t="s">
        <v>749</v>
      </c>
    </row>
    <row r="365" customFormat="false" ht="13.5" hidden="false" customHeight="true" outlineLevel="0" collapsed="false">
      <c r="A365" s="17"/>
      <c r="B365" s="18" t="s">
        <v>750</v>
      </c>
    </row>
    <row r="366" customFormat="false" ht="13.5" hidden="false" customHeight="true" outlineLevel="0" collapsed="false">
      <c r="A366" s="17"/>
      <c r="B366" s="4" t="s">
        <v>751</v>
      </c>
    </row>
    <row r="367" customFormat="false" ht="13.5" hidden="false" customHeight="true" outlineLevel="0" collapsed="false">
      <c r="A367" s="17"/>
      <c r="B367" s="18" t="s">
        <v>752</v>
      </c>
    </row>
    <row r="368" customFormat="false" ht="13.5" hidden="false" customHeight="true" outlineLevel="0" collapsed="false">
      <c r="A368" s="17"/>
      <c r="B368" s="4" t="s">
        <v>753</v>
      </c>
    </row>
    <row r="369" customFormat="false" ht="13.5" hidden="false" customHeight="true" outlineLevel="0" collapsed="false">
      <c r="A369" s="17"/>
      <c r="B369" s="18" t="s">
        <v>754</v>
      </c>
    </row>
    <row r="370" customFormat="false" ht="13.5" hidden="false" customHeight="true" outlineLevel="0" collapsed="false">
      <c r="A370" s="17"/>
      <c r="B370" s="4" t="s">
        <v>755</v>
      </c>
    </row>
    <row r="371" customFormat="false" ht="27.75" hidden="false" customHeight="true" outlineLevel="0" collapsed="false">
      <c r="A371" s="17"/>
      <c r="B371" s="18" t="s">
        <v>756</v>
      </c>
    </row>
    <row r="372" customFormat="false" ht="13.5" hidden="false" customHeight="true" outlineLevel="0" collapsed="false">
      <c r="A372" s="17"/>
      <c r="B372" s="4" t="s">
        <v>757</v>
      </c>
    </row>
    <row r="373" customFormat="false" ht="27.75" hidden="false" customHeight="true" outlineLevel="0" collapsed="false">
      <c r="A373" s="17"/>
      <c r="B373" s="18" t="s">
        <v>758</v>
      </c>
    </row>
    <row r="374" customFormat="false" ht="13.5" hidden="false" customHeight="true" outlineLevel="0" collapsed="false">
      <c r="A374" s="17"/>
      <c r="B374" s="4" t="s">
        <v>759</v>
      </c>
    </row>
    <row r="375" customFormat="false" ht="13.5" hidden="false" customHeight="true" outlineLevel="0" collapsed="false">
      <c r="A375" s="17"/>
      <c r="B375" s="18" t="s">
        <v>760</v>
      </c>
    </row>
    <row r="376" customFormat="false" ht="27.75" hidden="false" customHeight="true" outlineLevel="0" collapsed="false">
      <c r="A376" s="17"/>
      <c r="B376" s="4" t="s">
        <v>761</v>
      </c>
    </row>
    <row r="377" customFormat="false" ht="13.5" hidden="false" customHeight="true" outlineLevel="0" collapsed="false">
      <c r="A377" s="17"/>
      <c r="B377" s="18" t="s">
        <v>762</v>
      </c>
    </row>
    <row r="378" customFormat="false" ht="13.5" hidden="false" customHeight="true" outlineLevel="0" collapsed="false">
      <c r="A378" s="17"/>
      <c r="B378" s="4" t="s">
        <v>763</v>
      </c>
    </row>
    <row r="379" customFormat="false" ht="13.5" hidden="false" customHeight="true" outlineLevel="0" collapsed="false">
      <c r="A379" s="17"/>
      <c r="B379" s="18" t="s">
        <v>764</v>
      </c>
    </row>
    <row r="380" customFormat="false" ht="13.5" hidden="false" customHeight="true" outlineLevel="0" collapsed="false">
      <c r="A380" s="17"/>
      <c r="B380" s="4" t="s">
        <v>765</v>
      </c>
    </row>
    <row r="381" customFormat="false" ht="13.5" hidden="false" customHeight="true" outlineLevel="0" collapsed="false">
      <c r="A381" s="17"/>
      <c r="B381" s="18" t="s">
        <v>766</v>
      </c>
    </row>
    <row r="382" customFormat="false" ht="27.75" hidden="false" customHeight="true" outlineLevel="0" collapsed="false">
      <c r="A382" s="17"/>
      <c r="B382" s="4" t="s">
        <v>767</v>
      </c>
    </row>
    <row r="383" customFormat="false" ht="13.5" hidden="false" customHeight="true" outlineLevel="0" collapsed="false">
      <c r="A383" s="17"/>
      <c r="B383" s="18" t="s">
        <v>768</v>
      </c>
    </row>
    <row r="384" customFormat="false" ht="13.5" hidden="false" customHeight="true" outlineLevel="0" collapsed="false">
      <c r="A384" s="17"/>
      <c r="B384" s="4" t="s">
        <v>769</v>
      </c>
    </row>
    <row r="385" customFormat="false" ht="13.5" hidden="false" customHeight="true" outlineLevel="0" collapsed="false">
      <c r="A385" s="17"/>
      <c r="B385" s="18" t="s">
        <v>770</v>
      </c>
    </row>
    <row r="386" customFormat="false" ht="13.5" hidden="false" customHeight="true" outlineLevel="0" collapsed="false">
      <c r="A386" s="17"/>
      <c r="B386" s="4" t="s">
        <v>771</v>
      </c>
    </row>
    <row r="387" customFormat="false" ht="13.5" hidden="false" customHeight="true" outlineLevel="0" collapsed="false">
      <c r="A387" s="17"/>
      <c r="B387" s="18" t="s">
        <v>772</v>
      </c>
    </row>
    <row r="388" customFormat="false" ht="27.75" hidden="false" customHeight="true" outlineLevel="0" collapsed="false">
      <c r="A388" s="17"/>
      <c r="B388" s="4" t="s">
        <v>773</v>
      </c>
    </row>
    <row r="389" customFormat="false" ht="13.5" hidden="false" customHeight="true" outlineLevel="0" collapsed="false">
      <c r="A389" s="17"/>
      <c r="B389" s="18" t="s">
        <v>774</v>
      </c>
    </row>
    <row r="390" customFormat="false" ht="27.75" hidden="false" customHeight="true" outlineLevel="0" collapsed="false">
      <c r="A390" s="17"/>
      <c r="B390" s="4" t="s">
        <v>775</v>
      </c>
    </row>
    <row r="391" customFormat="false" ht="13.5" hidden="false" customHeight="true" outlineLevel="0" collapsed="false">
      <c r="A391" s="17"/>
      <c r="B391" s="18" t="s">
        <v>776</v>
      </c>
    </row>
    <row r="392" customFormat="false" ht="13.5" hidden="false" customHeight="true" outlineLevel="0" collapsed="false">
      <c r="A392" s="17"/>
      <c r="B392" s="4" t="s">
        <v>777</v>
      </c>
    </row>
    <row r="393" customFormat="false" ht="13.5" hidden="false" customHeight="true" outlineLevel="0" collapsed="false">
      <c r="A393" s="17"/>
      <c r="B393" s="18" t="s">
        <v>778</v>
      </c>
    </row>
    <row r="394" customFormat="false" ht="27.75" hidden="false" customHeight="true" outlineLevel="0" collapsed="false">
      <c r="A394" s="17"/>
      <c r="B394" s="4" t="s">
        <v>779</v>
      </c>
    </row>
    <row r="395" customFormat="false" ht="13.5" hidden="false" customHeight="true" outlineLevel="0" collapsed="false">
      <c r="A395" s="17"/>
      <c r="B395" s="18" t="s">
        <v>780</v>
      </c>
    </row>
    <row r="396" customFormat="false" ht="13.5" hidden="false" customHeight="true" outlineLevel="0" collapsed="false">
      <c r="A396" s="17"/>
      <c r="B396" s="4" t="s">
        <v>781</v>
      </c>
    </row>
    <row r="397" customFormat="false" ht="13.5" hidden="false" customHeight="true" outlineLevel="0" collapsed="false">
      <c r="A397" s="17"/>
      <c r="B397" s="18" t="s">
        <v>782</v>
      </c>
    </row>
    <row r="398" customFormat="false" ht="13.5" hidden="false" customHeight="true" outlineLevel="0" collapsed="false">
      <c r="A398" s="17"/>
      <c r="B398" s="4" t="s">
        <v>783</v>
      </c>
    </row>
    <row r="399" customFormat="false" ht="13.5" hidden="false" customHeight="true" outlineLevel="0" collapsed="false">
      <c r="A399" s="17"/>
      <c r="B399" s="18" t="s">
        <v>784</v>
      </c>
    </row>
    <row r="400" customFormat="false" ht="13.5" hidden="false" customHeight="true" outlineLevel="0" collapsed="false">
      <c r="A400" s="17"/>
      <c r="B400" s="4" t="s">
        <v>785</v>
      </c>
    </row>
    <row r="401" customFormat="false" ht="13.5" hidden="false" customHeight="true" outlineLevel="0" collapsed="false">
      <c r="A401" s="17"/>
      <c r="B401" s="18" t="s">
        <v>786</v>
      </c>
    </row>
    <row r="402" customFormat="false" ht="13.5" hidden="false" customHeight="true" outlineLevel="0" collapsed="false">
      <c r="A402" s="17"/>
      <c r="B402" s="4" t="s">
        <v>787</v>
      </c>
    </row>
    <row r="403" customFormat="false" ht="13.5" hidden="false" customHeight="true" outlineLevel="0" collapsed="false">
      <c r="A403" s="17"/>
      <c r="B403" s="18" t="s">
        <v>788</v>
      </c>
    </row>
    <row r="404" customFormat="false" ht="13.5" hidden="false" customHeight="true" outlineLevel="0" collapsed="false">
      <c r="A404" s="17"/>
      <c r="B404" s="4" t="s">
        <v>789</v>
      </c>
    </row>
    <row r="405" customFormat="false" ht="13.5" hidden="false" customHeight="true" outlineLevel="0" collapsed="false">
      <c r="A405" s="17"/>
      <c r="B405" s="18" t="s">
        <v>790</v>
      </c>
    </row>
    <row r="406" customFormat="false" ht="13.5" hidden="false" customHeight="true" outlineLevel="0" collapsed="false">
      <c r="A406" s="17"/>
      <c r="B406" s="4" t="s">
        <v>791</v>
      </c>
    </row>
    <row r="407" customFormat="false" ht="27.75" hidden="false" customHeight="true" outlineLevel="0" collapsed="false">
      <c r="A407" s="17"/>
      <c r="B407" s="18" t="s">
        <v>792</v>
      </c>
    </row>
    <row r="408" customFormat="false" ht="27.75" hidden="false" customHeight="true" outlineLevel="0" collapsed="false">
      <c r="A408" s="17"/>
      <c r="B408" s="4" t="s">
        <v>793</v>
      </c>
    </row>
    <row r="409" customFormat="false" ht="27.75" hidden="false" customHeight="true" outlineLevel="0" collapsed="false">
      <c r="A409" s="17"/>
      <c r="B409" s="18" t="s">
        <v>794</v>
      </c>
    </row>
    <row r="410" customFormat="false" ht="13.5" hidden="false" customHeight="true" outlineLevel="0" collapsed="false">
      <c r="A410" s="17"/>
      <c r="B410" s="4" t="s">
        <v>795</v>
      </c>
    </row>
    <row r="411" customFormat="false" ht="13.5" hidden="false" customHeight="true" outlineLevel="0" collapsed="false">
      <c r="A411" s="17"/>
      <c r="B411" s="18" t="s">
        <v>796</v>
      </c>
    </row>
    <row r="412" customFormat="false" ht="13.5" hidden="false" customHeight="true" outlineLevel="0" collapsed="false">
      <c r="A412" s="17"/>
      <c r="B412" s="4" t="s">
        <v>797</v>
      </c>
    </row>
    <row r="413" customFormat="false" ht="13.5" hidden="false" customHeight="true" outlineLevel="0" collapsed="false">
      <c r="A413" s="17"/>
      <c r="B413" s="18" t="s">
        <v>798</v>
      </c>
    </row>
    <row r="414" customFormat="false" ht="13.5" hidden="false" customHeight="true" outlineLevel="0" collapsed="false">
      <c r="A414" s="17"/>
      <c r="B414" s="4" t="s">
        <v>799</v>
      </c>
    </row>
    <row r="415" customFormat="false" ht="13.5" hidden="false" customHeight="true" outlineLevel="0" collapsed="false">
      <c r="A415" s="17"/>
      <c r="B415" s="18" t="s">
        <v>800</v>
      </c>
    </row>
    <row r="416" customFormat="false" ht="13.5" hidden="false" customHeight="true" outlineLevel="0" collapsed="false">
      <c r="A416" s="17"/>
      <c r="B416" s="4" t="s">
        <v>801</v>
      </c>
    </row>
    <row r="417" customFormat="false" ht="13.5" hidden="false" customHeight="true" outlineLevel="0" collapsed="false">
      <c r="A417" s="17"/>
      <c r="B417" s="18" t="s">
        <v>802</v>
      </c>
    </row>
    <row r="418" customFormat="false" ht="13.5" hidden="false" customHeight="true" outlineLevel="0" collapsed="false">
      <c r="A418" s="17"/>
      <c r="B418" s="4" t="s">
        <v>803</v>
      </c>
    </row>
    <row r="419" customFormat="false" ht="13.5" hidden="false" customHeight="true" outlineLevel="0" collapsed="false">
      <c r="A419" s="17"/>
      <c r="B419" s="18" t="s">
        <v>804</v>
      </c>
    </row>
    <row r="420" customFormat="false" ht="13.5" hidden="false" customHeight="true" outlineLevel="0" collapsed="false">
      <c r="A420" s="17"/>
      <c r="B420" s="4" t="s">
        <v>805</v>
      </c>
    </row>
    <row r="421" customFormat="false" ht="27.75" hidden="false" customHeight="true" outlineLevel="0" collapsed="false">
      <c r="A421" s="17"/>
      <c r="B421" s="18" t="s">
        <v>806</v>
      </c>
    </row>
    <row r="422" customFormat="false" ht="13.5" hidden="false" customHeight="true" outlineLevel="0" collapsed="false">
      <c r="A422" s="17"/>
      <c r="B422" s="20" t="s">
        <v>807</v>
      </c>
    </row>
    <row r="425" customFormat="false" ht="15" hidden="false" customHeight="false" outlineLevel="0" collapsed="false">
      <c r="A425" s="15" t="s">
        <v>92</v>
      </c>
      <c r="B425" s="15" t="s">
        <v>808</v>
      </c>
    </row>
    <row r="426" customFormat="false" ht="15" hidden="false" customHeight="false" outlineLevel="0" collapsed="false">
      <c r="B426" s="16" t="str">
        <f aca="false">HYPERLINK("#Label!G22","← Back to label (row 22)")</f>
        <v>← Back to label (row 22)</v>
      </c>
    </row>
    <row r="427" customFormat="false" ht="27.75" hidden="false" customHeight="true" outlineLevel="0" collapsed="false">
      <c r="A427" s="17" t="s">
        <v>24</v>
      </c>
      <c r="B427" s="18" t="s">
        <v>94</v>
      </c>
    </row>
    <row r="428" customFormat="false" ht="13.5" hidden="false" customHeight="true" outlineLevel="0" collapsed="false">
      <c r="A428" s="17" t="s">
        <v>450</v>
      </c>
      <c r="B428" s="4" t="s">
        <v>809</v>
      </c>
    </row>
    <row r="429" customFormat="false" ht="13.5" hidden="false" customHeight="true" outlineLevel="0" collapsed="false">
      <c r="A429" s="17" t="s">
        <v>452</v>
      </c>
      <c r="B429" s="18" t="s">
        <v>810</v>
      </c>
    </row>
    <row r="430" customFormat="false" ht="237.75" hidden="false" customHeight="true" outlineLevel="0" collapsed="false">
      <c r="A430" s="17" t="s">
        <v>454</v>
      </c>
      <c r="B430" s="4" t="s">
        <v>811</v>
      </c>
    </row>
    <row r="431" customFormat="false" ht="13.5" hidden="false" customHeight="true" outlineLevel="0" collapsed="false">
      <c r="A431" s="17" t="s">
        <v>456</v>
      </c>
      <c r="B431" s="19" t="s">
        <v>457</v>
      </c>
    </row>
    <row r="432" customFormat="false" ht="13.5" hidden="false" customHeight="true" outlineLevel="0" collapsed="false">
      <c r="A432" s="17" t="s">
        <v>525</v>
      </c>
      <c r="B432" s="4" t="s">
        <v>812</v>
      </c>
    </row>
    <row r="433" customFormat="false" ht="13.5" hidden="false" customHeight="true" outlineLevel="0" collapsed="false">
      <c r="A433" s="17"/>
      <c r="B433" s="18" t="s">
        <v>813</v>
      </c>
    </row>
    <row r="434" customFormat="false" ht="13.5" hidden="false" customHeight="true" outlineLevel="0" collapsed="false">
      <c r="A434" s="17"/>
      <c r="B434" s="4" t="s">
        <v>814</v>
      </c>
    </row>
    <row r="435" customFormat="false" ht="27.75" hidden="false" customHeight="true" outlineLevel="0" collapsed="false">
      <c r="A435" s="17"/>
      <c r="B435" s="18" t="s">
        <v>815</v>
      </c>
    </row>
    <row r="436" customFormat="false" ht="27.75" hidden="false" customHeight="true" outlineLevel="0" collapsed="false">
      <c r="A436" s="17"/>
      <c r="B436" s="4" t="s">
        <v>816</v>
      </c>
    </row>
    <row r="437" customFormat="false" ht="27.75" hidden="false" customHeight="true" outlineLevel="0" collapsed="false">
      <c r="A437" s="17"/>
      <c r="B437" s="18" t="s">
        <v>817</v>
      </c>
    </row>
    <row r="438" customFormat="false" ht="13.5" hidden="false" customHeight="true" outlineLevel="0" collapsed="false">
      <c r="A438" s="17"/>
      <c r="B438" s="4" t="s">
        <v>818</v>
      </c>
    </row>
    <row r="439" customFormat="false" ht="27.75" hidden="false" customHeight="true" outlineLevel="0" collapsed="false">
      <c r="A439" s="17"/>
      <c r="B439" s="18" t="s">
        <v>819</v>
      </c>
    </row>
    <row r="440" customFormat="false" ht="27.75" hidden="false" customHeight="true" outlineLevel="0" collapsed="false">
      <c r="A440" s="17"/>
      <c r="B440" s="4" t="s">
        <v>820</v>
      </c>
    </row>
    <row r="441" customFormat="false" ht="13.5" hidden="false" customHeight="true" outlineLevel="0" collapsed="false">
      <c r="A441" s="17"/>
      <c r="B441" s="18" t="s">
        <v>821</v>
      </c>
    </row>
    <row r="442" customFormat="false" ht="13.5" hidden="false" customHeight="true" outlineLevel="0" collapsed="false">
      <c r="A442" s="17"/>
      <c r="B442" s="4" t="s">
        <v>822</v>
      </c>
    </row>
    <row r="443" customFormat="false" ht="27.75" hidden="false" customHeight="true" outlineLevel="0" collapsed="false">
      <c r="A443" s="17"/>
      <c r="B443" s="18" t="s">
        <v>823</v>
      </c>
    </row>
    <row r="444" customFormat="false" ht="13.5" hidden="false" customHeight="true" outlineLevel="0" collapsed="false">
      <c r="A444" s="17"/>
      <c r="B444" s="4" t="s">
        <v>824</v>
      </c>
    </row>
    <row r="445" customFormat="false" ht="13.5" hidden="false" customHeight="true" outlineLevel="0" collapsed="false">
      <c r="A445" s="17"/>
      <c r="B445" s="18" t="s">
        <v>825</v>
      </c>
    </row>
    <row r="446" customFormat="false" ht="27.75" hidden="false" customHeight="true" outlineLevel="0" collapsed="false">
      <c r="A446" s="17"/>
      <c r="B446" s="4" t="s">
        <v>826</v>
      </c>
    </row>
    <row r="447" customFormat="false" ht="27.75" hidden="false" customHeight="true" outlineLevel="0" collapsed="false">
      <c r="A447" s="17"/>
      <c r="B447" s="18" t="s">
        <v>827</v>
      </c>
    </row>
    <row r="448" customFormat="false" ht="13.5" hidden="false" customHeight="true" outlineLevel="0" collapsed="false">
      <c r="A448" s="17"/>
      <c r="B448" s="4" t="s">
        <v>828</v>
      </c>
    </row>
    <row r="449" customFormat="false" ht="13.5" hidden="false" customHeight="true" outlineLevel="0" collapsed="false">
      <c r="A449" s="17"/>
      <c r="B449" s="18" t="s">
        <v>829</v>
      </c>
    </row>
    <row r="450" customFormat="false" ht="13.5" hidden="false" customHeight="true" outlineLevel="0" collapsed="false">
      <c r="A450" s="17"/>
      <c r="B450" s="4" t="s">
        <v>830</v>
      </c>
    </row>
    <row r="451" customFormat="false" ht="13.5" hidden="false" customHeight="true" outlineLevel="0" collapsed="false">
      <c r="A451" s="17"/>
      <c r="B451" s="18" t="s">
        <v>831</v>
      </c>
    </row>
    <row r="452" customFormat="false" ht="13.5" hidden="false" customHeight="true" outlineLevel="0" collapsed="false">
      <c r="A452" s="17"/>
      <c r="B452" s="4" t="s">
        <v>832</v>
      </c>
    </row>
    <row r="453" customFormat="false" ht="13.5" hidden="false" customHeight="true" outlineLevel="0" collapsed="false">
      <c r="A453" s="17"/>
      <c r="B453" s="18" t="s">
        <v>833</v>
      </c>
    </row>
    <row r="454" customFormat="false" ht="13.5" hidden="false" customHeight="true" outlineLevel="0" collapsed="false">
      <c r="A454" s="17"/>
      <c r="B454" s="4" t="s">
        <v>834</v>
      </c>
    </row>
    <row r="455" customFormat="false" ht="13.5" hidden="false" customHeight="true" outlineLevel="0" collapsed="false">
      <c r="A455" s="17"/>
      <c r="B455" s="18" t="s">
        <v>835</v>
      </c>
    </row>
    <row r="456" customFormat="false" ht="13.5" hidden="false" customHeight="true" outlineLevel="0" collapsed="false">
      <c r="A456" s="17"/>
      <c r="B456" s="4" t="s">
        <v>836</v>
      </c>
    </row>
    <row r="457" customFormat="false" ht="13.5" hidden="false" customHeight="true" outlineLevel="0" collapsed="false">
      <c r="A457" s="17"/>
      <c r="B457" s="18" t="s">
        <v>837</v>
      </c>
    </row>
    <row r="458" customFormat="false" ht="13.5" hidden="false" customHeight="true" outlineLevel="0" collapsed="false">
      <c r="A458" s="17"/>
      <c r="B458" s="4" t="s">
        <v>838</v>
      </c>
    </row>
    <row r="459" customFormat="false" ht="13.5" hidden="false" customHeight="true" outlineLevel="0" collapsed="false">
      <c r="A459" s="17"/>
      <c r="B459" s="18" t="s">
        <v>839</v>
      </c>
    </row>
    <row r="460" customFormat="false" ht="13.5" hidden="false" customHeight="true" outlineLevel="0" collapsed="false">
      <c r="A460" s="17"/>
      <c r="B460" s="4" t="s">
        <v>840</v>
      </c>
    </row>
    <row r="461" customFormat="false" ht="13.5" hidden="false" customHeight="true" outlineLevel="0" collapsed="false">
      <c r="A461" s="17"/>
      <c r="B461" s="18" t="s">
        <v>841</v>
      </c>
    </row>
    <row r="462" customFormat="false" ht="13.5" hidden="false" customHeight="true" outlineLevel="0" collapsed="false">
      <c r="A462" s="17"/>
      <c r="B462" s="4" t="s">
        <v>842</v>
      </c>
    </row>
    <row r="463" customFormat="false" ht="13.5" hidden="false" customHeight="true" outlineLevel="0" collapsed="false">
      <c r="A463" s="17"/>
      <c r="B463" s="18" t="s">
        <v>843</v>
      </c>
    </row>
    <row r="464" customFormat="false" ht="13.5" hidden="false" customHeight="true" outlineLevel="0" collapsed="false">
      <c r="A464" s="17"/>
      <c r="B464" s="4" t="s">
        <v>844</v>
      </c>
    </row>
    <row r="465" customFormat="false" ht="13.5" hidden="false" customHeight="true" outlineLevel="0" collapsed="false">
      <c r="A465" s="17"/>
      <c r="B465" s="18" t="s">
        <v>845</v>
      </c>
    </row>
    <row r="468" customFormat="false" ht="15" hidden="false" customHeight="false" outlineLevel="0" collapsed="false">
      <c r="A468" s="15" t="s">
        <v>96</v>
      </c>
      <c r="B468" s="15" t="s">
        <v>846</v>
      </c>
    </row>
    <row r="469" customFormat="false" ht="15" hidden="false" customHeight="false" outlineLevel="0" collapsed="false">
      <c r="B469" s="16" t="str">
        <f aca="false">HYPERLINK("#Label!G23","← Back to label (row 23)")</f>
        <v>← Back to label (row 23)</v>
      </c>
    </row>
    <row r="470" customFormat="false" ht="13.5" hidden="false" customHeight="true" outlineLevel="0" collapsed="false">
      <c r="A470" s="17" t="s">
        <v>24</v>
      </c>
      <c r="B470" s="18" t="s">
        <v>98</v>
      </c>
    </row>
    <row r="471" customFormat="false" ht="13.5" hidden="false" customHeight="true" outlineLevel="0" collapsed="false">
      <c r="A471" s="17" t="s">
        <v>450</v>
      </c>
      <c r="B471" s="4" t="s">
        <v>847</v>
      </c>
    </row>
    <row r="472" customFormat="false" ht="13.5" hidden="false" customHeight="true" outlineLevel="0" collapsed="false">
      <c r="A472" s="17" t="s">
        <v>452</v>
      </c>
      <c r="B472" s="18" t="s">
        <v>848</v>
      </c>
    </row>
    <row r="473" customFormat="false" ht="55.5" hidden="false" customHeight="true" outlineLevel="0" collapsed="false">
      <c r="A473" s="17" t="s">
        <v>454</v>
      </c>
      <c r="B473" s="4" t="s">
        <v>849</v>
      </c>
    </row>
    <row r="474" customFormat="false" ht="13.5" hidden="false" customHeight="true" outlineLevel="0" collapsed="false">
      <c r="A474" s="17" t="s">
        <v>456</v>
      </c>
      <c r="B474" s="19" t="s">
        <v>457</v>
      </c>
    </row>
    <row r="475" customFormat="false" ht="13.5" hidden="false" customHeight="true" outlineLevel="0" collapsed="false">
      <c r="A475" s="17" t="s">
        <v>508</v>
      </c>
      <c r="B475" s="20" t="s">
        <v>509</v>
      </c>
    </row>
    <row r="478" customFormat="false" ht="15" hidden="false" customHeight="false" outlineLevel="0" collapsed="false">
      <c r="A478" s="15" t="s">
        <v>99</v>
      </c>
      <c r="B478" s="15" t="s">
        <v>850</v>
      </c>
    </row>
    <row r="479" customFormat="false" ht="15" hidden="false" customHeight="false" outlineLevel="0" collapsed="false">
      <c r="B479" s="16" t="str">
        <f aca="false">HYPERLINK("#Label!G24","← Back to label (row 24)")</f>
        <v>← Back to label (row 24)</v>
      </c>
    </row>
    <row r="480" customFormat="false" ht="27.75" hidden="false" customHeight="true" outlineLevel="0" collapsed="false">
      <c r="A480" s="17" t="s">
        <v>24</v>
      </c>
      <c r="B480" s="18" t="s">
        <v>101</v>
      </c>
    </row>
    <row r="481" customFormat="false" ht="13.5" hidden="false" customHeight="true" outlineLevel="0" collapsed="false">
      <c r="A481" s="17" t="s">
        <v>450</v>
      </c>
      <c r="B481" s="4" t="s">
        <v>851</v>
      </c>
    </row>
    <row r="482" customFormat="false" ht="13.5" hidden="false" customHeight="true" outlineLevel="0" collapsed="false">
      <c r="A482" s="17" t="s">
        <v>452</v>
      </c>
      <c r="B482" s="18" t="s">
        <v>852</v>
      </c>
    </row>
    <row r="483" customFormat="false" ht="111.75" hidden="false" customHeight="true" outlineLevel="0" collapsed="false">
      <c r="A483" s="17" t="s">
        <v>454</v>
      </c>
      <c r="B483" s="4" t="s">
        <v>853</v>
      </c>
    </row>
    <row r="484" customFormat="false" ht="13.5" hidden="false" customHeight="true" outlineLevel="0" collapsed="false">
      <c r="A484" s="17" t="s">
        <v>456</v>
      </c>
      <c r="B484" s="19" t="s">
        <v>457</v>
      </c>
    </row>
    <row r="485" customFormat="false" ht="13.5" hidden="false" customHeight="true" outlineLevel="0" collapsed="false">
      <c r="A485" s="17" t="s">
        <v>854</v>
      </c>
      <c r="B485" s="4" t="s">
        <v>855</v>
      </c>
    </row>
    <row r="486" customFormat="false" ht="27.75" hidden="false" customHeight="true" outlineLevel="0" collapsed="false">
      <c r="A486" s="17"/>
      <c r="B486" s="18" t="s">
        <v>856</v>
      </c>
    </row>
    <row r="487" customFormat="false" ht="27.75" hidden="false" customHeight="true" outlineLevel="0" collapsed="false">
      <c r="A487" s="17"/>
      <c r="B487" s="4" t="s">
        <v>857</v>
      </c>
    </row>
    <row r="488" customFormat="false" ht="27.75" hidden="false" customHeight="true" outlineLevel="0" collapsed="false">
      <c r="A488" s="17"/>
      <c r="B488" s="18" t="s">
        <v>858</v>
      </c>
    </row>
    <row r="489" customFormat="false" ht="13.5" hidden="false" customHeight="true" outlineLevel="0" collapsed="false">
      <c r="A489" s="17"/>
      <c r="B489" s="4" t="s">
        <v>859</v>
      </c>
    </row>
    <row r="490" customFormat="false" ht="27.75" hidden="false" customHeight="true" outlineLevel="0" collapsed="false">
      <c r="A490" s="17"/>
      <c r="B490" s="18" t="s">
        <v>860</v>
      </c>
    </row>
    <row r="491" customFormat="false" ht="13.5" hidden="false" customHeight="true" outlineLevel="0" collapsed="false">
      <c r="A491" s="17"/>
      <c r="B491" s="4" t="s">
        <v>861</v>
      </c>
    </row>
    <row r="492" customFormat="false" ht="27.75" hidden="false" customHeight="true" outlineLevel="0" collapsed="false">
      <c r="A492" s="17"/>
      <c r="B492" s="18" t="s">
        <v>862</v>
      </c>
    </row>
    <row r="493" customFormat="false" ht="27.75" hidden="false" customHeight="true" outlineLevel="0" collapsed="false">
      <c r="A493" s="17"/>
      <c r="B493" s="4" t="s">
        <v>863</v>
      </c>
    </row>
    <row r="494" customFormat="false" ht="13.5" hidden="false" customHeight="true" outlineLevel="0" collapsed="false">
      <c r="A494" s="17"/>
      <c r="B494" s="18" t="s">
        <v>864</v>
      </c>
    </row>
    <row r="495" customFormat="false" ht="13.5" hidden="false" customHeight="true" outlineLevel="0" collapsed="false">
      <c r="A495" s="17"/>
      <c r="B495" s="4" t="s">
        <v>865</v>
      </c>
    </row>
    <row r="496" customFormat="false" ht="13.5" hidden="false" customHeight="true" outlineLevel="0" collapsed="false">
      <c r="A496" s="17"/>
      <c r="B496" s="18" t="s">
        <v>866</v>
      </c>
    </row>
    <row r="497" customFormat="false" ht="27.75" hidden="false" customHeight="true" outlineLevel="0" collapsed="false">
      <c r="A497" s="17"/>
      <c r="B497" s="4" t="s">
        <v>867</v>
      </c>
    </row>
    <row r="498" customFormat="false" ht="13.5" hidden="false" customHeight="true" outlineLevel="0" collapsed="false">
      <c r="A498" s="17"/>
      <c r="B498" s="18" t="s">
        <v>868</v>
      </c>
    </row>
    <row r="499" customFormat="false" ht="27.75" hidden="false" customHeight="true" outlineLevel="0" collapsed="false">
      <c r="A499" s="17"/>
      <c r="B499" s="4" t="s">
        <v>869</v>
      </c>
    </row>
    <row r="500" customFormat="false" ht="13.5" hidden="false" customHeight="true" outlineLevel="0" collapsed="false">
      <c r="A500" s="17"/>
      <c r="B500" s="18" t="s">
        <v>870</v>
      </c>
    </row>
    <row r="501" customFormat="false" ht="27.75" hidden="false" customHeight="true" outlineLevel="0" collapsed="false">
      <c r="A501" s="17"/>
      <c r="B501" s="4" t="s">
        <v>871</v>
      </c>
    </row>
    <row r="502" customFormat="false" ht="27.75" hidden="false" customHeight="true" outlineLevel="0" collapsed="false">
      <c r="A502" s="17"/>
      <c r="B502" s="18" t="s">
        <v>872</v>
      </c>
    </row>
    <row r="503" customFormat="false" ht="13.5" hidden="false" customHeight="true" outlineLevel="0" collapsed="false">
      <c r="A503" s="17"/>
      <c r="B503" s="4" t="s">
        <v>873</v>
      </c>
    </row>
    <row r="504" customFormat="false" ht="13.5" hidden="false" customHeight="true" outlineLevel="0" collapsed="false">
      <c r="A504" s="17"/>
      <c r="B504" s="18" t="s">
        <v>874</v>
      </c>
    </row>
    <row r="505" customFormat="false" ht="27.75" hidden="false" customHeight="true" outlineLevel="0" collapsed="false">
      <c r="A505" s="17"/>
      <c r="B505" s="4" t="s">
        <v>875</v>
      </c>
    </row>
    <row r="506" customFormat="false" ht="13.5" hidden="false" customHeight="true" outlineLevel="0" collapsed="false">
      <c r="A506" s="17"/>
      <c r="B506" s="18" t="s">
        <v>876</v>
      </c>
    </row>
    <row r="507" customFormat="false" ht="27.75" hidden="false" customHeight="true" outlineLevel="0" collapsed="false">
      <c r="A507" s="17"/>
      <c r="B507" s="4" t="s">
        <v>877</v>
      </c>
    </row>
    <row r="508" customFormat="false" ht="27.75" hidden="false" customHeight="true" outlineLevel="0" collapsed="false">
      <c r="A508" s="17"/>
      <c r="B508" s="18" t="s">
        <v>878</v>
      </c>
    </row>
    <row r="509" customFormat="false" ht="13.5" hidden="false" customHeight="true" outlineLevel="0" collapsed="false">
      <c r="A509" s="17"/>
      <c r="B509" s="4" t="s">
        <v>879</v>
      </c>
    </row>
    <row r="510" customFormat="false" ht="13.5" hidden="false" customHeight="true" outlineLevel="0" collapsed="false">
      <c r="A510" s="17"/>
      <c r="B510" s="18" t="s">
        <v>880</v>
      </c>
    </row>
    <row r="511" customFormat="false" ht="13.5" hidden="false" customHeight="true" outlineLevel="0" collapsed="false">
      <c r="A511" s="17"/>
      <c r="B511" s="4" t="s">
        <v>881</v>
      </c>
    </row>
    <row r="512" customFormat="false" ht="13.5" hidden="false" customHeight="true" outlineLevel="0" collapsed="false">
      <c r="A512" s="17"/>
      <c r="B512" s="18" t="s">
        <v>882</v>
      </c>
    </row>
    <row r="513" customFormat="false" ht="13.5" hidden="false" customHeight="true" outlineLevel="0" collapsed="false">
      <c r="A513" s="17"/>
      <c r="B513" s="4" t="s">
        <v>883</v>
      </c>
    </row>
    <row r="514" customFormat="false" ht="13.5" hidden="false" customHeight="true" outlineLevel="0" collapsed="false">
      <c r="A514" s="17"/>
      <c r="B514" s="18" t="s">
        <v>884</v>
      </c>
    </row>
    <row r="515" customFormat="false" ht="13.5" hidden="false" customHeight="true" outlineLevel="0" collapsed="false">
      <c r="A515" s="17"/>
      <c r="B515" s="4" t="s">
        <v>885</v>
      </c>
    </row>
    <row r="516" customFormat="false" ht="13.5" hidden="false" customHeight="true" outlineLevel="0" collapsed="false">
      <c r="A516" s="17"/>
      <c r="B516" s="18" t="s">
        <v>886</v>
      </c>
    </row>
    <row r="517" customFormat="false" ht="13.5" hidden="false" customHeight="true" outlineLevel="0" collapsed="false">
      <c r="A517" s="17"/>
      <c r="B517" s="4" t="s">
        <v>887</v>
      </c>
    </row>
    <row r="518" customFormat="false" ht="13.5" hidden="false" customHeight="true" outlineLevel="0" collapsed="false">
      <c r="A518" s="17"/>
      <c r="B518" s="18" t="s">
        <v>888</v>
      </c>
    </row>
    <row r="519" customFormat="false" ht="13.5" hidden="false" customHeight="true" outlineLevel="0" collapsed="false">
      <c r="A519" s="17"/>
      <c r="B519" s="4" t="s">
        <v>889</v>
      </c>
    </row>
    <row r="520" customFormat="false" ht="27.75" hidden="false" customHeight="true" outlineLevel="0" collapsed="false">
      <c r="A520" s="17"/>
      <c r="B520" s="18" t="s">
        <v>890</v>
      </c>
    </row>
    <row r="521" customFormat="false" ht="13.5" hidden="false" customHeight="true" outlineLevel="0" collapsed="false">
      <c r="A521" s="17"/>
      <c r="B521" s="4" t="s">
        <v>891</v>
      </c>
    </row>
    <row r="522" customFormat="false" ht="27.75" hidden="false" customHeight="true" outlineLevel="0" collapsed="false">
      <c r="A522" s="17"/>
      <c r="B522" s="18" t="s">
        <v>892</v>
      </c>
    </row>
    <row r="523" customFormat="false" ht="13.5" hidden="false" customHeight="true" outlineLevel="0" collapsed="false">
      <c r="A523" s="17"/>
      <c r="B523" s="4" t="s">
        <v>893</v>
      </c>
    </row>
    <row r="524" customFormat="false" ht="27.75" hidden="false" customHeight="true" outlineLevel="0" collapsed="false">
      <c r="A524" s="17"/>
      <c r="B524" s="18" t="s">
        <v>894</v>
      </c>
    </row>
    <row r="525" customFormat="false" ht="27.75" hidden="false" customHeight="true" outlineLevel="0" collapsed="false">
      <c r="A525" s="17"/>
      <c r="B525" s="4" t="s">
        <v>895</v>
      </c>
    </row>
    <row r="526" customFormat="false" ht="13.5" hidden="false" customHeight="true" outlineLevel="0" collapsed="false">
      <c r="A526" s="17"/>
      <c r="B526" s="18" t="s">
        <v>896</v>
      </c>
    </row>
    <row r="527" customFormat="false" ht="13.5" hidden="false" customHeight="true" outlineLevel="0" collapsed="false">
      <c r="A527" s="17"/>
      <c r="B527" s="4" t="s">
        <v>897</v>
      </c>
    </row>
    <row r="528" customFormat="false" ht="13.5" hidden="false" customHeight="true" outlineLevel="0" collapsed="false">
      <c r="A528" s="17"/>
      <c r="B528" s="18" t="s">
        <v>898</v>
      </c>
    </row>
    <row r="529" customFormat="false" ht="13.5" hidden="false" customHeight="true" outlineLevel="0" collapsed="false">
      <c r="A529" s="17"/>
      <c r="B529" s="4" t="s">
        <v>899</v>
      </c>
    </row>
    <row r="530" customFormat="false" ht="13.5" hidden="false" customHeight="true" outlineLevel="0" collapsed="false">
      <c r="A530" s="17"/>
      <c r="B530" s="18" t="s">
        <v>900</v>
      </c>
    </row>
    <row r="531" customFormat="false" ht="13.5" hidden="false" customHeight="true" outlineLevel="0" collapsed="false">
      <c r="A531" s="17"/>
      <c r="B531" s="4" t="s">
        <v>901</v>
      </c>
    </row>
    <row r="532" customFormat="false" ht="27.75" hidden="false" customHeight="true" outlineLevel="0" collapsed="false">
      <c r="A532" s="17"/>
      <c r="B532" s="18" t="s">
        <v>902</v>
      </c>
    </row>
    <row r="533" customFormat="false" ht="13.5" hidden="false" customHeight="true" outlineLevel="0" collapsed="false">
      <c r="A533" s="17"/>
      <c r="B533" s="4" t="s">
        <v>903</v>
      </c>
    </row>
    <row r="534" customFormat="false" ht="27.75" hidden="false" customHeight="true" outlineLevel="0" collapsed="false">
      <c r="A534" s="17"/>
      <c r="B534" s="18" t="s">
        <v>904</v>
      </c>
    </row>
    <row r="535" customFormat="false" ht="13.5" hidden="false" customHeight="true" outlineLevel="0" collapsed="false">
      <c r="A535" s="17"/>
      <c r="B535" s="4" t="s">
        <v>905</v>
      </c>
    </row>
    <row r="536" customFormat="false" ht="27.75" hidden="false" customHeight="true" outlineLevel="0" collapsed="false">
      <c r="A536" s="17"/>
      <c r="B536" s="18" t="s">
        <v>906</v>
      </c>
    </row>
    <row r="537" customFormat="false" ht="27.75" hidden="false" customHeight="true" outlineLevel="0" collapsed="false">
      <c r="A537" s="17"/>
      <c r="B537" s="4" t="s">
        <v>907</v>
      </c>
    </row>
    <row r="538" customFormat="false" ht="27.75" hidden="false" customHeight="true" outlineLevel="0" collapsed="false">
      <c r="A538" s="17"/>
      <c r="B538" s="18" t="s">
        <v>908</v>
      </c>
    </row>
    <row r="539" customFormat="false" ht="13.5" hidden="false" customHeight="true" outlineLevel="0" collapsed="false">
      <c r="A539" s="17"/>
      <c r="B539" s="4" t="s">
        <v>909</v>
      </c>
    </row>
    <row r="540" customFormat="false" ht="13.5" hidden="false" customHeight="true" outlineLevel="0" collapsed="false">
      <c r="A540" s="17"/>
      <c r="B540" s="18" t="s">
        <v>910</v>
      </c>
    </row>
    <row r="541" customFormat="false" ht="27.75" hidden="false" customHeight="true" outlineLevel="0" collapsed="false">
      <c r="A541" s="17"/>
      <c r="B541" s="4" t="s">
        <v>911</v>
      </c>
    </row>
    <row r="542" customFormat="false" ht="13.5" hidden="false" customHeight="true" outlineLevel="0" collapsed="false">
      <c r="A542" s="17"/>
      <c r="B542" s="18" t="s">
        <v>912</v>
      </c>
    </row>
    <row r="543" customFormat="false" ht="13.5" hidden="false" customHeight="true" outlineLevel="0" collapsed="false">
      <c r="A543" s="17"/>
      <c r="B543" s="4" t="s">
        <v>913</v>
      </c>
    </row>
    <row r="544" customFormat="false" ht="27.75" hidden="false" customHeight="true" outlineLevel="0" collapsed="false">
      <c r="A544" s="17"/>
      <c r="B544" s="18" t="s">
        <v>914</v>
      </c>
    </row>
    <row r="545" customFormat="false" ht="13.5" hidden="false" customHeight="true" outlineLevel="0" collapsed="false">
      <c r="A545" s="17"/>
      <c r="B545" s="20" t="s">
        <v>915</v>
      </c>
    </row>
    <row r="548" customFormat="false" ht="15" hidden="false" customHeight="false" outlineLevel="0" collapsed="false">
      <c r="A548" s="15" t="s">
        <v>102</v>
      </c>
      <c r="B548" s="15" t="s">
        <v>916</v>
      </c>
    </row>
    <row r="549" customFormat="false" ht="15" hidden="false" customHeight="false" outlineLevel="0" collapsed="false">
      <c r="B549" s="16" t="str">
        <f aca="false">HYPERLINK("#Label!G25","← Back to label (row 25)")</f>
        <v>← Back to label (row 25)</v>
      </c>
    </row>
    <row r="550" customFormat="false" ht="13.5" hidden="false" customHeight="true" outlineLevel="0" collapsed="false">
      <c r="A550" s="17" t="s">
        <v>24</v>
      </c>
      <c r="B550" s="18" t="s">
        <v>71</v>
      </c>
    </row>
    <row r="551" customFormat="false" ht="13.5" hidden="false" customHeight="true" outlineLevel="0" collapsed="false">
      <c r="A551" s="17" t="s">
        <v>450</v>
      </c>
      <c r="B551" s="4" t="s">
        <v>917</v>
      </c>
    </row>
    <row r="552" customFormat="false" ht="13.5" hidden="false" customHeight="true" outlineLevel="0" collapsed="false">
      <c r="A552" s="17" t="s">
        <v>454</v>
      </c>
      <c r="B552" s="19" t="s">
        <v>486</v>
      </c>
    </row>
    <row r="553" customFormat="false" ht="13.5" hidden="false" customHeight="true" outlineLevel="0" collapsed="false">
      <c r="A553" s="17" t="s">
        <v>456</v>
      </c>
      <c r="B553" s="20" t="s">
        <v>457</v>
      </c>
    </row>
    <row r="554" customFormat="false" ht="13.5" hidden="false" customHeight="true" outlineLevel="0" collapsed="false">
      <c r="A554" s="17" t="s">
        <v>519</v>
      </c>
      <c r="B554" s="18" t="s">
        <v>918</v>
      </c>
    </row>
    <row r="557" customFormat="false" ht="15" hidden="false" customHeight="false" outlineLevel="0" collapsed="false">
      <c r="A557" s="15" t="s">
        <v>104</v>
      </c>
      <c r="B557" s="15" t="s">
        <v>919</v>
      </c>
    </row>
    <row r="558" customFormat="false" ht="15" hidden="false" customHeight="false" outlineLevel="0" collapsed="false">
      <c r="B558" s="16" t="str">
        <f aca="false">HYPERLINK("#Label!G26","← Back to label (row 26)")</f>
        <v>← Back to label (row 26)</v>
      </c>
    </row>
    <row r="559" customFormat="false" ht="13.5" hidden="false" customHeight="true" outlineLevel="0" collapsed="false">
      <c r="A559" s="17" t="s">
        <v>24</v>
      </c>
      <c r="B559" s="18" t="s">
        <v>106</v>
      </c>
    </row>
    <row r="560" customFormat="false" ht="13.5" hidden="false" customHeight="true" outlineLevel="0" collapsed="false">
      <c r="A560" s="17" t="s">
        <v>450</v>
      </c>
      <c r="B560" s="4" t="s">
        <v>920</v>
      </c>
    </row>
    <row r="561" customFormat="false" ht="13.5" hidden="false" customHeight="true" outlineLevel="0" collapsed="false">
      <c r="A561" s="17" t="s">
        <v>452</v>
      </c>
      <c r="B561" s="18" t="s">
        <v>921</v>
      </c>
    </row>
    <row r="562" customFormat="false" ht="13.5" hidden="false" customHeight="true" outlineLevel="0" collapsed="false">
      <c r="A562" s="17" t="s">
        <v>454</v>
      </c>
      <c r="B562" s="20" t="s">
        <v>486</v>
      </c>
    </row>
    <row r="563" customFormat="false" ht="13.5" hidden="false" customHeight="true" outlineLevel="0" collapsed="false">
      <c r="A563" s="17" t="s">
        <v>456</v>
      </c>
      <c r="B563" s="18" t="s">
        <v>922</v>
      </c>
    </row>
    <row r="564" customFormat="false" ht="13.5" hidden="false" customHeight="true" outlineLevel="0" collapsed="false">
      <c r="A564" s="17" t="s">
        <v>923</v>
      </c>
      <c r="B564" s="4" t="s">
        <v>924</v>
      </c>
    </row>
    <row r="565" customFormat="false" ht="27.75" hidden="false" customHeight="true" outlineLevel="0" collapsed="false">
      <c r="A565" s="17"/>
      <c r="B565" s="18" t="s">
        <v>925</v>
      </c>
    </row>
    <row r="566" customFormat="false" ht="13.5" hidden="false" customHeight="true" outlineLevel="0" collapsed="false">
      <c r="A566" s="17"/>
      <c r="B566" s="4" t="s">
        <v>926</v>
      </c>
    </row>
    <row r="567" customFormat="false" ht="27.75" hidden="false" customHeight="true" outlineLevel="0" collapsed="false">
      <c r="A567" s="17"/>
      <c r="B567" s="18" t="s">
        <v>927</v>
      </c>
    </row>
    <row r="568" customFormat="false" ht="13.5" hidden="false" customHeight="true" outlineLevel="0" collapsed="false">
      <c r="A568" s="17"/>
      <c r="B568" s="4" t="s">
        <v>928</v>
      </c>
    </row>
    <row r="569" customFormat="false" ht="27.75" hidden="false" customHeight="true" outlineLevel="0" collapsed="false">
      <c r="A569" s="17"/>
      <c r="B569" s="18" t="s">
        <v>929</v>
      </c>
    </row>
    <row r="570" customFormat="false" ht="13.5" hidden="false" customHeight="true" outlineLevel="0" collapsed="false">
      <c r="A570" s="17"/>
      <c r="B570" s="4" t="s">
        <v>930</v>
      </c>
    </row>
    <row r="571" customFormat="false" ht="27.75" hidden="false" customHeight="true" outlineLevel="0" collapsed="false">
      <c r="A571" s="17"/>
      <c r="B571" s="18" t="s">
        <v>931</v>
      </c>
    </row>
    <row r="572" customFormat="false" ht="13.5" hidden="false" customHeight="true" outlineLevel="0" collapsed="false">
      <c r="A572" s="17"/>
      <c r="B572" s="4" t="s">
        <v>932</v>
      </c>
    </row>
    <row r="573" customFormat="false" ht="13.5" hidden="false" customHeight="true" outlineLevel="0" collapsed="false">
      <c r="A573" s="17"/>
      <c r="B573" s="18" t="s">
        <v>933</v>
      </c>
    </row>
    <row r="574" customFormat="false" ht="13.5" hidden="false" customHeight="true" outlineLevel="0" collapsed="false">
      <c r="A574" s="17"/>
      <c r="B574" s="4" t="s">
        <v>934</v>
      </c>
    </row>
    <row r="575" customFormat="false" ht="13.5" hidden="false" customHeight="true" outlineLevel="0" collapsed="false">
      <c r="A575" s="17"/>
      <c r="B575" s="18" t="s">
        <v>935</v>
      </c>
    </row>
    <row r="576" customFormat="false" ht="27.75" hidden="false" customHeight="true" outlineLevel="0" collapsed="false">
      <c r="A576" s="17"/>
      <c r="B576" s="4" t="s">
        <v>936</v>
      </c>
    </row>
    <row r="577" customFormat="false" ht="13.5" hidden="false" customHeight="true" outlineLevel="0" collapsed="false">
      <c r="A577" s="17"/>
      <c r="B577" s="18" t="s">
        <v>937</v>
      </c>
    </row>
    <row r="578" customFormat="false" ht="13.5" hidden="false" customHeight="true" outlineLevel="0" collapsed="false">
      <c r="A578" s="17"/>
      <c r="B578" s="4" t="s">
        <v>938</v>
      </c>
    </row>
    <row r="579" customFormat="false" ht="13.5" hidden="false" customHeight="true" outlineLevel="0" collapsed="false">
      <c r="A579" s="17"/>
      <c r="B579" s="18" t="s">
        <v>939</v>
      </c>
    </row>
    <row r="580" customFormat="false" ht="13.5" hidden="false" customHeight="true" outlineLevel="0" collapsed="false">
      <c r="A580" s="17"/>
      <c r="B580" s="4" t="s">
        <v>940</v>
      </c>
    </row>
    <row r="581" customFormat="false" ht="13.5" hidden="false" customHeight="true" outlineLevel="0" collapsed="false">
      <c r="A581" s="17"/>
      <c r="B581" s="18" t="s">
        <v>941</v>
      </c>
    </row>
    <row r="582" customFormat="false" ht="27.75" hidden="false" customHeight="true" outlineLevel="0" collapsed="false">
      <c r="A582" s="17"/>
      <c r="B582" s="4" t="s">
        <v>942</v>
      </c>
    </row>
    <row r="583" customFormat="false" ht="13.5" hidden="false" customHeight="true" outlineLevel="0" collapsed="false">
      <c r="A583" s="17"/>
      <c r="B583" s="18" t="s">
        <v>943</v>
      </c>
    </row>
    <row r="584" customFormat="false" ht="13.5" hidden="false" customHeight="true" outlineLevel="0" collapsed="false">
      <c r="A584" s="17"/>
      <c r="B584" s="4" t="s">
        <v>944</v>
      </c>
    </row>
    <row r="585" customFormat="false" ht="13.5" hidden="false" customHeight="true" outlineLevel="0" collapsed="false">
      <c r="A585" s="17"/>
      <c r="B585" s="18" t="s">
        <v>945</v>
      </c>
    </row>
    <row r="586" customFormat="false" ht="13.5" hidden="false" customHeight="true" outlineLevel="0" collapsed="false">
      <c r="A586" s="17"/>
      <c r="B586" s="4" t="s">
        <v>946</v>
      </c>
    </row>
    <row r="587" customFormat="false" ht="13.5" hidden="false" customHeight="true" outlineLevel="0" collapsed="false">
      <c r="A587" s="17"/>
      <c r="B587" s="18" t="s">
        <v>947</v>
      </c>
    </row>
    <row r="588" customFormat="false" ht="27.75" hidden="false" customHeight="true" outlineLevel="0" collapsed="false">
      <c r="A588" s="17"/>
      <c r="B588" s="4" t="s">
        <v>948</v>
      </c>
    </row>
    <row r="589" customFormat="false" ht="27.75" hidden="false" customHeight="true" outlineLevel="0" collapsed="false">
      <c r="A589" s="17"/>
      <c r="B589" s="18" t="s">
        <v>949</v>
      </c>
    </row>
    <row r="590" customFormat="false" ht="13.5" hidden="false" customHeight="true" outlineLevel="0" collapsed="false">
      <c r="A590" s="17"/>
      <c r="B590" s="4" t="s">
        <v>950</v>
      </c>
    </row>
    <row r="591" customFormat="false" ht="13.5" hidden="false" customHeight="true" outlineLevel="0" collapsed="false">
      <c r="A591" s="17"/>
      <c r="B591" s="18" t="s">
        <v>951</v>
      </c>
    </row>
    <row r="592" customFormat="false" ht="13.5" hidden="false" customHeight="true" outlineLevel="0" collapsed="false">
      <c r="A592" s="17"/>
      <c r="B592" s="4" t="s">
        <v>952</v>
      </c>
    </row>
    <row r="593" customFormat="false" ht="27.75" hidden="false" customHeight="true" outlineLevel="0" collapsed="false">
      <c r="A593" s="17"/>
      <c r="B593" s="18" t="s">
        <v>953</v>
      </c>
    </row>
    <row r="594" customFormat="false" ht="13.5" hidden="false" customHeight="true" outlineLevel="0" collapsed="false">
      <c r="A594" s="17"/>
      <c r="B594" s="4" t="s">
        <v>954</v>
      </c>
    </row>
    <row r="595" customFormat="false" ht="13.5" hidden="false" customHeight="true" outlineLevel="0" collapsed="false">
      <c r="A595" s="17"/>
      <c r="B595" s="18" t="s">
        <v>955</v>
      </c>
    </row>
    <row r="596" customFormat="false" ht="13.5" hidden="false" customHeight="true" outlineLevel="0" collapsed="false">
      <c r="A596" s="17"/>
      <c r="B596" s="4" t="s">
        <v>956</v>
      </c>
    </row>
    <row r="597" customFormat="false" ht="13.5" hidden="false" customHeight="true" outlineLevel="0" collapsed="false">
      <c r="A597" s="17"/>
      <c r="B597" s="18" t="s">
        <v>957</v>
      </c>
    </row>
    <row r="598" customFormat="false" ht="13.5" hidden="false" customHeight="true" outlineLevel="0" collapsed="false">
      <c r="A598" s="17"/>
      <c r="B598" s="4" t="s">
        <v>958</v>
      </c>
    </row>
    <row r="599" customFormat="false" ht="13.5" hidden="false" customHeight="true" outlineLevel="0" collapsed="false">
      <c r="A599" s="17"/>
      <c r="B599" s="18" t="s">
        <v>959</v>
      </c>
    </row>
    <row r="600" customFormat="false" ht="13.5" hidden="false" customHeight="true" outlineLevel="0" collapsed="false">
      <c r="A600" s="17"/>
      <c r="B600" s="4" t="s">
        <v>960</v>
      </c>
    </row>
    <row r="601" customFormat="false" ht="13.5" hidden="false" customHeight="true" outlineLevel="0" collapsed="false">
      <c r="A601" s="17"/>
      <c r="B601" s="18" t="s">
        <v>961</v>
      </c>
    </row>
    <row r="602" customFormat="false" ht="13.5" hidden="false" customHeight="true" outlineLevel="0" collapsed="false">
      <c r="A602" s="17"/>
      <c r="B602" s="4" t="s">
        <v>962</v>
      </c>
    </row>
    <row r="603" customFormat="false" ht="13.5" hidden="false" customHeight="true" outlineLevel="0" collapsed="false">
      <c r="A603" s="17"/>
      <c r="B603" s="18" t="s">
        <v>963</v>
      </c>
    </row>
    <row r="604" customFormat="false" ht="13.5" hidden="false" customHeight="true" outlineLevel="0" collapsed="false">
      <c r="A604" s="17"/>
      <c r="B604" s="4" t="s">
        <v>964</v>
      </c>
    </row>
    <row r="605" customFormat="false" ht="13.5" hidden="false" customHeight="true" outlineLevel="0" collapsed="false">
      <c r="A605" s="17"/>
      <c r="B605" s="18" t="s">
        <v>965</v>
      </c>
    </row>
    <row r="606" customFormat="false" ht="13.5" hidden="false" customHeight="true" outlineLevel="0" collapsed="false">
      <c r="A606" s="17"/>
      <c r="B606" s="4" t="s">
        <v>966</v>
      </c>
    </row>
    <row r="607" customFormat="false" ht="13.5" hidden="false" customHeight="true" outlineLevel="0" collapsed="false">
      <c r="A607" s="17"/>
      <c r="B607" s="18" t="s">
        <v>967</v>
      </c>
    </row>
    <row r="608" customFormat="false" ht="13.5" hidden="false" customHeight="true" outlineLevel="0" collapsed="false">
      <c r="A608" s="17"/>
      <c r="B608" s="4" t="s">
        <v>968</v>
      </c>
    </row>
    <row r="609" customFormat="false" ht="13.5" hidden="false" customHeight="true" outlineLevel="0" collapsed="false">
      <c r="A609" s="17"/>
      <c r="B609" s="18" t="s">
        <v>969</v>
      </c>
    </row>
    <row r="610" customFormat="false" ht="13.5" hidden="false" customHeight="true" outlineLevel="0" collapsed="false">
      <c r="A610" s="17"/>
      <c r="B610" s="4" t="s">
        <v>970</v>
      </c>
    </row>
    <row r="611" customFormat="false" ht="13.5" hidden="false" customHeight="true" outlineLevel="0" collapsed="false">
      <c r="A611" s="17"/>
      <c r="B611" s="18" t="s">
        <v>971</v>
      </c>
    </row>
    <row r="612" customFormat="false" ht="13.5" hidden="false" customHeight="true" outlineLevel="0" collapsed="false">
      <c r="A612" s="17"/>
      <c r="B612" s="4" t="s">
        <v>972</v>
      </c>
    </row>
    <row r="613" customFormat="false" ht="13.5" hidden="false" customHeight="true" outlineLevel="0" collapsed="false">
      <c r="A613" s="17"/>
      <c r="B613" s="18" t="s">
        <v>973</v>
      </c>
    </row>
    <row r="614" customFormat="false" ht="13.5" hidden="false" customHeight="true" outlineLevel="0" collapsed="false">
      <c r="A614" s="17"/>
      <c r="B614" s="4" t="s">
        <v>974</v>
      </c>
    </row>
    <row r="615" customFormat="false" ht="13.5" hidden="false" customHeight="true" outlineLevel="0" collapsed="false">
      <c r="A615" s="17"/>
      <c r="B615" s="18" t="s">
        <v>975</v>
      </c>
    </row>
    <row r="616" customFormat="false" ht="13.5" hidden="false" customHeight="true" outlineLevel="0" collapsed="false">
      <c r="A616" s="17"/>
      <c r="B616" s="4" t="s">
        <v>976</v>
      </c>
    </row>
    <row r="617" customFormat="false" ht="13.5" hidden="false" customHeight="true" outlineLevel="0" collapsed="false">
      <c r="A617" s="17"/>
      <c r="B617" s="18" t="s">
        <v>977</v>
      </c>
    </row>
    <row r="618" customFormat="false" ht="13.5" hidden="false" customHeight="true" outlineLevel="0" collapsed="false">
      <c r="A618" s="17"/>
      <c r="B618" s="4" t="s">
        <v>978</v>
      </c>
    </row>
    <row r="619" customFormat="false" ht="13.5" hidden="false" customHeight="true" outlineLevel="0" collapsed="false">
      <c r="A619" s="17"/>
      <c r="B619" s="18" t="s">
        <v>979</v>
      </c>
    </row>
    <row r="620" customFormat="false" ht="13.5" hidden="false" customHeight="true" outlineLevel="0" collapsed="false">
      <c r="A620" s="17"/>
      <c r="B620" s="4" t="s">
        <v>980</v>
      </c>
    </row>
    <row r="621" customFormat="false" ht="13.5" hidden="false" customHeight="true" outlineLevel="0" collapsed="false">
      <c r="A621" s="17"/>
      <c r="B621" s="18" t="s">
        <v>981</v>
      </c>
    </row>
    <row r="622" customFormat="false" ht="13.5" hidden="false" customHeight="true" outlineLevel="0" collapsed="false">
      <c r="A622" s="17"/>
      <c r="B622" s="4" t="s">
        <v>982</v>
      </c>
    </row>
    <row r="623" customFormat="false" ht="13.5" hidden="false" customHeight="true" outlineLevel="0" collapsed="false">
      <c r="A623" s="17"/>
      <c r="B623" s="18" t="s">
        <v>983</v>
      </c>
    </row>
    <row r="624" customFormat="false" ht="13.5" hidden="false" customHeight="true" outlineLevel="0" collapsed="false">
      <c r="A624" s="17"/>
      <c r="B624" s="20" t="s">
        <v>984</v>
      </c>
    </row>
    <row r="627" customFormat="false" ht="15" hidden="false" customHeight="false" outlineLevel="0" collapsed="false">
      <c r="A627" s="15" t="s">
        <v>108</v>
      </c>
      <c r="B627" s="15" t="s">
        <v>985</v>
      </c>
    </row>
    <row r="628" customFormat="false" ht="15" hidden="false" customHeight="false" outlineLevel="0" collapsed="false">
      <c r="B628" s="16" t="str">
        <f aca="false">HYPERLINK("#Label!G27","← Back to label (row 27)")</f>
        <v>← Back to label (row 27)</v>
      </c>
    </row>
    <row r="629" customFormat="false" ht="13.5" hidden="false" customHeight="true" outlineLevel="0" collapsed="false">
      <c r="A629" s="17" t="s">
        <v>24</v>
      </c>
      <c r="B629" s="18" t="s">
        <v>49</v>
      </c>
    </row>
    <row r="630" customFormat="false" ht="13.5" hidden="false" customHeight="true" outlineLevel="0" collapsed="false">
      <c r="A630" s="17" t="s">
        <v>450</v>
      </c>
      <c r="B630" s="4" t="s">
        <v>986</v>
      </c>
    </row>
    <row r="631" customFormat="false" ht="13.5" hidden="false" customHeight="true" outlineLevel="0" collapsed="false">
      <c r="A631" s="17" t="s">
        <v>452</v>
      </c>
      <c r="B631" s="18" t="s">
        <v>987</v>
      </c>
    </row>
    <row r="632" customFormat="false" ht="27.75" hidden="false" customHeight="true" outlineLevel="0" collapsed="false">
      <c r="A632" s="17" t="s">
        <v>454</v>
      </c>
      <c r="B632" s="4" t="s">
        <v>988</v>
      </c>
    </row>
    <row r="633" customFormat="false" ht="13.5" hidden="false" customHeight="true" outlineLevel="0" collapsed="false">
      <c r="A633" s="17" t="s">
        <v>456</v>
      </c>
      <c r="B633" s="19" t="s">
        <v>457</v>
      </c>
    </row>
    <row r="634" customFormat="false" ht="13.5" hidden="false" customHeight="true" outlineLevel="0" collapsed="false">
      <c r="A634" s="17" t="s">
        <v>508</v>
      </c>
      <c r="B634" s="20" t="s">
        <v>509</v>
      </c>
    </row>
    <row r="637" customFormat="false" ht="15" hidden="false" customHeight="false" outlineLevel="0" collapsed="false">
      <c r="A637" s="15" t="s">
        <v>111</v>
      </c>
      <c r="B637" s="15" t="s">
        <v>989</v>
      </c>
    </row>
    <row r="638" customFormat="false" ht="15" hidden="false" customHeight="false" outlineLevel="0" collapsed="false">
      <c r="B638" s="16" t="str">
        <f aca="false">HYPERLINK("#Label!G28","← Back to label (row 28)")</f>
        <v>← Back to label (row 28)</v>
      </c>
    </row>
    <row r="639" customFormat="false" ht="13.5" hidden="false" customHeight="true" outlineLevel="0" collapsed="false">
      <c r="A639" s="17" t="s">
        <v>24</v>
      </c>
      <c r="B639" s="18" t="s">
        <v>106</v>
      </c>
    </row>
    <row r="640" customFormat="false" ht="13.5" hidden="false" customHeight="true" outlineLevel="0" collapsed="false">
      <c r="A640" s="17" t="s">
        <v>450</v>
      </c>
      <c r="B640" s="4" t="s">
        <v>990</v>
      </c>
    </row>
    <row r="641" customFormat="false" ht="13.5" hidden="false" customHeight="true" outlineLevel="0" collapsed="false">
      <c r="A641" s="17" t="s">
        <v>454</v>
      </c>
      <c r="B641" s="19" t="s">
        <v>486</v>
      </c>
    </row>
    <row r="642" customFormat="false" ht="13.5" hidden="false" customHeight="true" outlineLevel="0" collapsed="false">
      <c r="A642" s="17" t="s">
        <v>456</v>
      </c>
      <c r="B642" s="20" t="s">
        <v>457</v>
      </c>
    </row>
    <row r="643" customFormat="false" ht="13.5" hidden="false" customHeight="true" outlineLevel="0" collapsed="false">
      <c r="A643" s="17" t="s">
        <v>500</v>
      </c>
      <c r="B643" s="18" t="s">
        <v>991</v>
      </c>
    </row>
    <row r="644" customFormat="false" ht="13.5" hidden="false" customHeight="true" outlineLevel="0" collapsed="false">
      <c r="A644" s="17"/>
      <c r="B644" s="4" t="s">
        <v>992</v>
      </c>
    </row>
    <row r="645" customFormat="false" ht="13.5" hidden="false" customHeight="true" outlineLevel="0" collapsed="false">
      <c r="A645" s="17"/>
      <c r="B645" s="18" t="s">
        <v>993</v>
      </c>
    </row>
    <row r="648" customFormat="false" ht="15" hidden="false" customHeight="false" outlineLevel="0" collapsed="false">
      <c r="A648" s="15" t="s">
        <v>114</v>
      </c>
      <c r="B648" s="15" t="s">
        <v>994</v>
      </c>
    </row>
    <row r="649" customFormat="false" ht="15" hidden="false" customHeight="false" outlineLevel="0" collapsed="false">
      <c r="B649" s="16" t="str">
        <f aca="false">HYPERLINK("#Label!G29","← Back to label (row 29)")</f>
        <v>← Back to label (row 29)</v>
      </c>
    </row>
    <row r="650" customFormat="false" ht="13.5" hidden="false" customHeight="true" outlineLevel="0" collapsed="false">
      <c r="A650" s="17" t="s">
        <v>24</v>
      </c>
      <c r="B650" s="18" t="s">
        <v>116</v>
      </c>
    </row>
    <row r="651" customFormat="false" ht="13.5" hidden="false" customHeight="true" outlineLevel="0" collapsed="false">
      <c r="A651" s="17" t="s">
        <v>450</v>
      </c>
      <c r="B651" s="4" t="s">
        <v>995</v>
      </c>
    </row>
    <row r="652" customFormat="false" ht="13.5" hidden="false" customHeight="true" outlineLevel="0" collapsed="false">
      <c r="A652" s="17" t="s">
        <v>452</v>
      </c>
      <c r="B652" s="18" t="s">
        <v>996</v>
      </c>
    </row>
    <row r="653" customFormat="false" ht="69.75" hidden="false" customHeight="true" outlineLevel="0" collapsed="false">
      <c r="A653" s="17" t="s">
        <v>454</v>
      </c>
      <c r="B653" s="4" t="s">
        <v>997</v>
      </c>
    </row>
    <row r="654" customFormat="false" ht="13.5" hidden="false" customHeight="true" outlineLevel="0" collapsed="false">
      <c r="A654" s="17" t="s">
        <v>456</v>
      </c>
      <c r="B654" s="19" t="s">
        <v>457</v>
      </c>
    </row>
    <row r="655" customFormat="false" ht="27.75" hidden="false" customHeight="true" outlineLevel="0" collapsed="false">
      <c r="A655" s="17" t="s">
        <v>514</v>
      </c>
      <c r="B655" s="4" t="s">
        <v>998</v>
      </c>
    </row>
    <row r="656" customFormat="false" ht="13.5" hidden="false" customHeight="true" outlineLevel="0" collapsed="false">
      <c r="A656" s="17"/>
      <c r="B656" s="18" t="s">
        <v>999</v>
      </c>
    </row>
    <row r="659" customFormat="false" ht="15" hidden="false" customHeight="false" outlineLevel="0" collapsed="false">
      <c r="A659" s="15" t="s">
        <v>117</v>
      </c>
      <c r="B659" s="15" t="s">
        <v>1000</v>
      </c>
    </row>
    <row r="660" customFormat="false" ht="15" hidden="false" customHeight="false" outlineLevel="0" collapsed="false">
      <c r="B660" s="16" t="str">
        <f aca="false">HYPERLINK("#Label!G30","← Back to label (row 30)")</f>
        <v>← Back to label (row 30)</v>
      </c>
    </row>
    <row r="661" customFormat="false" ht="13.5" hidden="false" customHeight="true" outlineLevel="0" collapsed="false">
      <c r="A661" s="17" t="s">
        <v>24</v>
      </c>
      <c r="B661" s="18" t="s">
        <v>59</v>
      </c>
    </row>
    <row r="662" customFormat="false" ht="13.5" hidden="false" customHeight="true" outlineLevel="0" collapsed="false">
      <c r="A662" s="17" t="s">
        <v>450</v>
      </c>
      <c r="B662" s="4" t="s">
        <v>1001</v>
      </c>
    </row>
    <row r="663" customFormat="false" ht="13.5" hidden="false" customHeight="true" outlineLevel="0" collapsed="false">
      <c r="A663" s="17" t="s">
        <v>452</v>
      </c>
      <c r="B663" s="18" t="s">
        <v>1002</v>
      </c>
    </row>
    <row r="664" customFormat="false" ht="126" hidden="false" customHeight="true" outlineLevel="0" collapsed="false">
      <c r="A664" s="17" t="s">
        <v>454</v>
      </c>
      <c r="B664" s="4" t="s">
        <v>1003</v>
      </c>
    </row>
    <row r="665" customFormat="false" ht="13.5" hidden="false" customHeight="true" outlineLevel="0" collapsed="false">
      <c r="A665" s="17" t="s">
        <v>456</v>
      </c>
      <c r="B665" s="19" t="s">
        <v>457</v>
      </c>
    </row>
    <row r="666" customFormat="false" ht="13.5" hidden="false" customHeight="true" outlineLevel="0" collapsed="false">
      <c r="A666" s="17" t="s">
        <v>1004</v>
      </c>
      <c r="B666" s="4" t="s">
        <v>1005</v>
      </c>
    </row>
    <row r="667" customFormat="false" ht="27.75" hidden="false" customHeight="true" outlineLevel="0" collapsed="false">
      <c r="A667" s="17"/>
      <c r="B667" s="18" t="s">
        <v>1006</v>
      </c>
    </row>
    <row r="668" customFormat="false" ht="13.5" hidden="false" customHeight="true" outlineLevel="0" collapsed="false">
      <c r="A668" s="17"/>
      <c r="B668" s="4" t="s">
        <v>1007</v>
      </c>
    </row>
    <row r="669" customFormat="false" ht="13.5" hidden="false" customHeight="true" outlineLevel="0" collapsed="false">
      <c r="A669" s="17"/>
      <c r="B669" s="18" t="s">
        <v>1008</v>
      </c>
    </row>
    <row r="670" customFormat="false" ht="27.75" hidden="false" customHeight="true" outlineLevel="0" collapsed="false">
      <c r="A670" s="17"/>
      <c r="B670" s="4" t="s">
        <v>1009</v>
      </c>
    </row>
    <row r="671" customFormat="false" ht="13.5" hidden="false" customHeight="true" outlineLevel="0" collapsed="false">
      <c r="A671" s="17"/>
      <c r="B671" s="18" t="s">
        <v>1010</v>
      </c>
    </row>
    <row r="672" customFormat="false" ht="27.75" hidden="false" customHeight="true" outlineLevel="0" collapsed="false">
      <c r="A672" s="17"/>
      <c r="B672" s="4" t="s">
        <v>1011</v>
      </c>
    </row>
    <row r="673" customFormat="false" ht="27.75" hidden="false" customHeight="true" outlineLevel="0" collapsed="false">
      <c r="A673" s="17"/>
      <c r="B673" s="18" t="s">
        <v>1012</v>
      </c>
    </row>
    <row r="674" customFormat="false" ht="13.5" hidden="false" customHeight="true" outlineLevel="0" collapsed="false">
      <c r="A674" s="17"/>
      <c r="B674" s="4" t="s">
        <v>1013</v>
      </c>
    </row>
    <row r="675" customFormat="false" ht="13.5" hidden="false" customHeight="true" outlineLevel="0" collapsed="false">
      <c r="A675" s="17"/>
      <c r="B675" s="18" t="s">
        <v>1014</v>
      </c>
    </row>
    <row r="676" customFormat="false" ht="27.75" hidden="false" customHeight="true" outlineLevel="0" collapsed="false">
      <c r="A676" s="17"/>
      <c r="B676" s="4" t="s">
        <v>1015</v>
      </c>
    </row>
    <row r="677" customFormat="false" ht="13.5" hidden="false" customHeight="true" outlineLevel="0" collapsed="false">
      <c r="A677" s="17"/>
      <c r="B677" s="18" t="s">
        <v>1016</v>
      </c>
    </row>
    <row r="678" customFormat="false" ht="13.5" hidden="false" customHeight="true" outlineLevel="0" collapsed="false">
      <c r="A678" s="17"/>
      <c r="B678" s="4" t="s">
        <v>1017</v>
      </c>
    </row>
    <row r="679" customFormat="false" ht="27.75" hidden="false" customHeight="true" outlineLevel="0" collapsed="false">
      <c r="A679" s="17"/>
      <c r="B679" s="18" t="s">
        <v>1018</v>
      </c>
    </row>
    <row r="680" customFormat="false" ht="27.75" hidden="false" customHeight="true" outlineLevel="0" collapsed="false">
      <c r="A680" s="17"/>
      <c r="B680" s="4" t="s">
        <v>1019</v>
      </c>
    </row>
    <row r="681" customFormat="false" ht="13.5" hidden="false" customHeight="true" outlineLevel="0" collapsed="false">
      <c r="A681" s="17"/>
      <c r="B681" s="18" t="s">
        <v>1020</v>
      </c>
    </row>
    <row r="682" customFormat="false" ht="13.5" hidden="false" customHeight="true" outlineLevel="0" collapsed="false">
      <c r="A682" s="17"/>
      <c r="B682" s="4" t="s">
        <v>1021</v>
      </c>
    </row>
    <row r="683" customFormat="false" ht="27.75" hidden="false" customHeight="true" outlineLevel="0" collapsed="false">
      <c r="A683" s="17"/>
      <c r="B683" s="18" t="s">
        <v>1022</v>
      </c>
    </row>
    <row r="684" customFormat="false" ht="27.75" hidden="false" customHeight="true" outlineLevel="0" collapsed="false">
      <c r="A684" s="17"/>
      <c r="B684" s="4" t="s">
        <v>1023</v>
      </c>
    </row>
    <row r="685" customFormat="false" ht="13.5" hidden="false" customHeight="true" outlineLevel="0" collapsed="false">
      <c r="A685" s="17"/>
      <c r="B685" s="18" t="s">
        <v>1024</v>
      </c>
    </row>
    <row r="686" customFormat="false" ht="27.75" hidden="false" customHeight="true" outlineLevel="0" collapsed="false">
      <c r="A686" s="17"/>
      <c r="B686" s="4" t="s">
        <v>1025</v>
      </c>
    </row>
    <row r="687" customFormat="false" ht="27.75" hidden="false" customHeight="true" outlineLevel="0" collapsed="false">
      <c r="A687" s="17"/>
      <c r="B687" s="18" t="s">
        <v>1026</v>
      </c>
    </row>
    <row r="688" customFormat="false" ht="27.75" hidden="false" customHeight="true" outlineLevel="0" collapsed="false">
      <c r="A688" s="17"/>
      <c r="B688" s="4" t="s">
        <v>1027</v>
      </c>
    </row>
    <row r="689" customFormat="false" ht="42" hidden="false" customHeight="true" outlineLevel="0" collapsed="false">
      <c r="A689" s="17"/>
      <c r="B689" s="18" t="s">
        <v>1028</v>
      </c>
    </row>
    <row r="690" customFormat="false" ht="13.5" hidden="false" customHeight="true" outlineLevel="0" collapsed="false">
      <c r="A690" s="17"/>
      <c r="B690" s="4" t="s">
        <v>1029</v>
      </c>
    </row>
    <row r="691" customFormat="false" ht="27.75" hidden="false" customHeight="true" outlineLevel="0" collapsed="false">
      <c r="A691" s="17"/>
      <c r="B691" s="18" t="s">
        <v>1030</v>
      </c>
    </row>
    <row r="692" customFormat="false" ht="27.75" hidden="false" customHeight="true" outlineLevel="0" collapsed="false">
      <c r="A692" s="17"/>
      <c r="B692" s="4" t="s">
        <v>1031</v>
      </c>
    </row>
    <row r="693" customFormat="false" ht="27.75" hidden="false" customHeight="true" outlineLevel="0" collapsed="false">
      <c r="A693" s="17"/>
      <c r="B693" s="18" t="s">
        <v>1032</v>
      </c>
    </row>
    <row r="694" customFormat="false" ht="27.75" hidden="false" customHeight="true" outlineLevel="0" collapsed="false">
      <c r="A694" s="17"/>
      <c r="B694" s="4" t="s">
        <v>1033</v>
      </c>
    </row>
    <row r="695" customFormat="false" ht="13.5" hidden="false" customHeight="true" outlineLevel="0" collapsed="false">
      <c r="A695" s="17"/>
      <c r="B695" s="18" t="s">
        <v>1034</v>
      </c>
    </row>
    <row r="696" customFormat="false" ht="27.75" hidden="false" customHeight="true" outlineLevel="0" collapsed="false">
      <c r="A696" s="17"/>
      <c r="B696" s="4" t="s">
        <v>1035</v>
      </c>
    </row>
    <row r="697" customFormat="false" ht="27.75" hidden="false" customHeight="true" outlineLevel="0" collapsed="false">
      <c r="A697" s="17"/>
      <c r="B697" s="18" t="s">
        <v>1036</v>
      </c>
    </row>
    <row r="698" customFormat="false" ht="13.5" hidden="false" customHeight="true" outlineLevel="0" collapsed="false">
      <c r="A698" s="17"/>
      <c r="B698" s="4" t="s">
        <v>1037</v>
      </c>
    </row>
    <row r="699" customFormat="false" ht="13.5" hidden="false" customHeight="true" outlineLevel="0" collapsed="false">
      <c r="A699" s="17"/>
      <c r="B699" s="18" t="s">
        <v>1038</v>
      </c>
    </row>
    <row r="700" customFormat="false" ht="13.5" hidden="false" customHeight="true" outlineLevel="0" collapsed="false">
      <c r="A700" s="17"/>
      <c r="B700" s="4" t="s">
        <v>1039</v>
      </c>
    </row>
    <row r="701" customFormat="false" ht="27.75" hidden="false" customHeight="true" outlineLevel="0" collapsed="false">
      <c r="A701" s="17"/>
      <c r="B701" s="18" t="s">
        <v>1040</v>
      </c>
    </row>
    <row r="702" customFormat="false" ht="13.5" hidden="false" customHeight="true" outlineLevel="0" collapsed="false">
      <c r="A702" s="17"/>
      <c r="B702" s="4" t="s">
        <v>1041</v>
      </c>
    </row>
    <row r="703" customFormat="false" ht="13.5" hidden="false" customHeight="true" outlineLevel="0" collapsed="false">
      <c r="A703" s="17"/>
      <c r="B703" s="18" t="s">
        <v>1042</v>
      </c>
    </row>
    <row r="704" customFormat="false" ht="13.5" hidden="false" customHeight="true" outlineLevel="0" collapsed="false">
      <c r="A704" s="17"/>
      <c r="B704" s="4" t="s">
        <v>1043</v>
      </c>
    </row>
    <row r="705" customFormat="false" ht="13.5" hidden="false" customHeight="true" outlineLevel="0" collapsed="false">
      <c r="A705" s="17"/>
      <c r="B705" s="18" t="s">
        <v>1044</v>
      </c>
    </row>
    <row r="706" customFormat="false" ht="27.75" hidden="false" customHeight="true" outlineLevel="0" collapsed="false">
      <c r="A706" s="17"/>
      <c r="B706" s="4" t="s">
        <v>1045</v>
      </c>
    </row>
    <row r="707" customFormat="false" ht="13.5" hidden="false" customHeight="true" outlineLevel="0" collapsed="false">
      <c r="A707" s="17"/>
      <c r="B707" s="18" t="s">
        <v>1046</v>
      </c>
    </row>
    <row r="708" customFormat="false" ht="13.5" hidden="false" customHeight="true" outlineLevel="0" collapsed="false">
      <c r="A708" s="17"/>
      <c r="B708" s="4" t="s">
        <v>1047</v>
      </c>
    </row>
    <row r="709" customFormat="false" ht="27.75" hidden="false" customHeight="true" outlineLevel="0" collapsed="false">
      <c r="A709" s="17"/>
      <c r="B709" s="18" t="s">
        <v>1048</v>
      </c>
    </row>
    <row r="710" customFormat="false" ht="13.5" hidden="false" customHeight="true" outlineLevel="0" collapsed="false">
      <c r="A710" s="17"/>
      <c r="B710" s="4" t="s">
        <v>1049</v>
      </c>
    </row>
    <row r="711" customFormat="false" ht="13.5" hidden="false" customHeight="true" outlineLevel="0" collapsed="false">
      <c r="A711" s="17"/>
      <c r="B711" s="18" t="s">
        <v>1050</v>
      </c>
    </row>
    <row r="712" customFormat="false" ht="27.75" hidden="false" customHeight="true" outlineLevel="0" collapsed="false">
      <c r="A712" s="17"/>
      <c r="B712" s="4" t="s">
        <v>1051</v>
      </c>
    </row>
    <row r="713" customFormat="false" ht="13.5" hidden="false" customHeight="true" outlineLevel="0" collapsed="false">
      <c r="A713" s="17"/>
      <c r="B713" s="18" t="s">
        <v>1052</v>
      </c>
    </row>
    <row r="714" customFormat="false" ht="13.5" hidden="false" customHeight="true" outlineLevel="0" collapsed="false">
      <c r="A714" s="17"/>
      <c r="B714" s="4" t="s">
        <v>1053</v>
      </c>
    </row>
    <row r="715" customFormat="false" ht="13.5" hidden="false" customHeight="true" outlineLevel="0" collapsed="false">
      <c r="A715" s="17"/>
      <c r="B715" s="18" t="s">
        <v>1054</v>
      </c>
    </row>
    <row r="716" customFormat="false" ht="13.5" hidden="false" customHeight="true" outlineLevel="0" collapsed="false">
      <c r="A716" s="17"/>
      <c r="B716" s="4" t="s">
        <v>1055</v>
      </c>
    </row>
    <row r="717" customFormat="false" ht="13.5" hidden="false" customHeight="true" outlineLevel="0" collapsed="false">
      <c r="A717" s="17"/>
      <c r="B717" s="18" t="s">
        <v>1056</v>
      </c>
    </row>
    <row r="718" customFormat="false" ht="13.5" hidden="false" customHeight="true" outlineLevel="0" collapsed="false">
      <c r="A718" s="17"/>
      <c r="B718" s="4" t="s">
        <v>1057</v>
      </c>
    </row>
    <row r="719" customFormat="false" ht="13.5" hidden="false" customHeight="true" outlineLevel="0" collapsed="false">
      <c r="A719" s="17"/>
      <c r="B719" s="18" t="s">
        <v>1058</v>
      </c>
    </row>
    <row r="720" customFormat="false" ht="13.5" hidden="false" customHeight="true" outlineLevel="0" collapsed="false">
      <c r="A720" s="17"/>
      <c r="B720" s="4" t="s">
        <v>1059</v>
      </c>
    </row>
    <row r="721" customFormat="false" ht="13.5" hidden="false" customHeight="true" outlineLevel="0" collapsed="false">
      <c r="A721" s="17"/>
      <c r="B721" s="18" t="s">
        <v>1060</v>
      </c>
    </row>
    <row r="722" customFormat="false" ht="13.5" hidden="false" customHeight="true" outlineLevel="0" collapsed="false">
      <c r="A722" s="17"/>
      <c r="B722" s="4" t="s">
        <v>1061</v>
      </c>
    </row>
    <row r="723" customFormat="false" ht="27.75" hidden="false" customHeight="true" outlineLevel="0" collapsed="false">
      <c r="A723" s="17"/>
      <c r="B723" s="18" t="s">
        <v>1062</v>
      </c>
    </row>
    <row r="724" customFormat="false" ht="27.75" hidden="false" customHeight="true" outlineLevel="0" collapsed="false">
      <c r="A724" s="17"/>
      <c r="B724" s="4" t="s">
        <v>1063</v>
      </c>
    </row>
    <row r="725" customFormat="false" ht="13.5" hidden="false" customHeight="true" outlineLevel="0" collapsed="false">
      <c r="A725" s="17"/>
      <c r="B725" s="18" t="s">
        <v>1064</v>
      </c>
    </row>
    <row r="728" customFormat="false" ht="15" hidden="false" customHeight="false" outlineLevel="0" collapsed="false">
      <c r="A728" s="15" t="s">
        <v>119</v>
      </c>
      <c r="B728" s="15" t="s">
        <v>120</v>
      </c>
    </row>
    <row r="729" customFormat="false" ht="15" hidden="false" customHeight="false" outlineLevel="0" collapsed="false">
      <c r="B729" s="16" t="str">
        <f aca="false">HYPERLINK("#Label!G31","← Back to label (row 31)")</f>
        <v>← Back to label (row 31)</v>
      </c>
    </row>
    <row r="730" customFormat="false" ht="13.5" hidden="false" customHeight="true" outlineLevel="0" collapsed="false">
      <c r="A730" s="17" t="s">
        <v>24</v>
      </c>
      <c r="B730" s="18" t="s">
        <v>71</v>
      </c>
    </row>
    <row r="731" customFormat="false" ht="13.5" hidden="false" customHeight="true" outlineLevel="0" collapsed="false">
      <c r="A731" s="17" t="s">
        <v>450</v>
      </c>
      <c r="B731" s="4" t="s">
        <v>1065</v>
      </c>
    </row>
    <row r="732" customFormat="false" ht="13.5" hidden="false" customHeight="true" outlineLevel="0" collapsed="false">
      <c r="A732" s="17" t="s">
        <v>454</v>
      </c>
      <c r="B732" s="19" t="s">
        <v>486</v>
      </c>
    </row>
    <row r="733" customFormat="false" ht="13.5" hidden="false" customHeight="true" outlineLevel="0" collapsed="false">
      <c r="A733" s="17" t="s">
        <v>456</v>
      </c>
      <c r="B733" s="20" t="s">
        <v>457</v>
      </c>
    </row>
    <row r="734" customFormat="false" ht="13.5" hidden="false" customHeight="true" outlineLevel="0" collapsed="false">
      <c r="A734" s="17" t="s">
        <v>1066</v>
      </c>
      <c r="B734" s="18" t="s">
        <v>1067</v>
      </c>
    </row>
    <row r="735" customFormat="false" ht="13.5" hidden="false" customHeight="true" outlineLevel="0" collapsed="false">
      <c r="A735" s="17"/>
      <c r="B735" s="4" t="s">
        <v>1068</v>
      </c>
    </row>
    <row r="736" customFormat="false" ht="13.5" hidden="false" customHeight="true" outlineLevel="0" collapsed="false">
      <c r="A736" s="17"/>
      <c r="B736" s="18" t="s">
        <v>1069</v>
      </c>
    </row>
    <row r="737" customFormat="false" ht="13.5" hidden="false" customHeight="true" outlineLevel="0" collapsed="false">
      <c r="A737" s="17"/>
      <c r="B737" s="4" t="s">
        <v>1070</v>
      </c>
    </row>
    <row r="738" customFormat="false" ht="13.5" hidden="false" customHeight="true" outlineLevel="0" collapsed="false">
      <c r="A738" s="17"/>
      <c r="B738" s="18" t="s">
        <v>1071</v>
      </c>
    </row>
    <row r="739" customFormat="false" ht="13.5" hidden="false" customHeight="true" outlineLevel="0" collapsed="false">
      <c r="A739" s="17"/>
      <c r="B739" s="4" t="s">
        <v>1072</v>
      </c>
    </row>
    <row r="740" customFormat="false" ht="13.5" hidden="false" customHeight="true" outlineLevel="0" collapsed="false">
      <c r="A740" s="17"/>
      <c r="B740" s="18" t="s">
        <v>1073</v>
      </c>
    </row>
    <row r="741" customFormat="false" ht="13.5" hidden="false" customHeight="true" outlineLevel="0" collapsed="false">
      <c r="A741" s="17"/>
      <c r="B741" s="4" t="s">
        <v>1074</v>
      </c>
    </row>
    <row r="742" customFormat="false" ht="13.5" hidden="false" customHeight="true" outlineLevel="0" collapsed="false">
      <c r="A742" s="17"/>
      <c r="B742" s="18" t="s">
        <v>1075</v>
      </c>
    </row>
    <row r="743" customFormat="false" ht="13.5" hidden="false" customHeight="true" outlineLevel="0" collapsed="false">
      <c r="A743" s="17"/>
      <c r="B743" s="4" t="s">
        <v>1076</v>
      </c>
    </row>
    <row r="744" customFormat="false" ht="13.5" hidden="false" customHeight="true" outlineLevel="0" collapsed="false">
      <c r="A744" s="17"/>
      <c r="B744" s="18" t="s">
        <v>1077</v>
      </c>
    </row>
    <row r="745" customFormat="false" ht="13.5" hidden="false" customHeight="true" outlineLevel="0" collapsed="false">
      <c r="A745" s="17"/>
      <c r="B745" s="4" t="s">
        <v>1078</v>
      </c>
    </row>
    <row r="746" customFormat="false" ht="13.5" hidden="false" customHeight="true" outlineLevel="0" collapsed="false">
      <c r="A746" s="17"/>
      <c r="B746" s="18" t="s">
        <v>1079</v>
      </c>
    </row>
    <row r="747" customFormat="false" ht="27.75" hidden="false" customHeight="true" outlineLevel="0" collapsed="false">
      <c r="A747" s="17"/>
      <c r="B747" s="4" t="s">
        <v>1080</v>
      </c>
    </row>
    <row r="748" customFormat="false" ht="13.5" hidden="false" customHeight="true" outlineLevel="0" collapsed="false">
      <c r="A748" s="17"/>
      <c r="B748" s="18" t="s">
        <v>1081</v>
      </c>
    </row>
    <row r="749" customFormat="false" ht="13.5" hidden="false" customHeight="true" outlineLevel="0" collapsed="false">
      <c r="A749" s="17"/>
      <c r="B749" s="4" t="s">
        <v>1082</v>
      </c>
    </row>
    <row r="750" customFormat="false" ht="13.5" hidden="false" customHeight="true" outlineLevel="0" collapsed="false">
      <c r="A750" s="17"/>
      <c r="B750" s="18" t="s">
        <v>1083</v>
      </c>
    </row>
    <row r="751" customFormat="false" ht="13.5" hidden="false" customHeight="true" outlineLevel="0" collapsed="false">
      <c r="A751" s="17"/>
      <c r="B751" s="4" t="s">
        <v>1084</v>
      </c>
    </row>
    <row r="754" customFormat="false" ht="15" hidden="false" customHeight="false" outlineLevel="0" collapsed="false">
      <c r="A754" s="15" t="s">
        <v>121</v>
      </c>
      <c r="B754" s="15" t="s">
        <v>1085</v>
      </c>
    </row>
    <row r="755" customFormat="false" ht="15" hidden="false" customHeight="false" outlineLevel="0" collapsed="false">
      <c r="B755" s="16" t="str">
        <f aca="false">HYPERLINK("#Label!G32","← Back to label (row 32)")</f>
        <v>← Back to label (row 32)</v>
      </c>
    </row>
    <row r="756" customFormat="false" ht="13.5" hidden="false" customHeight="true" outlineLevel="0" collapsed="false">
      <c r="A756" s="17" t="s">
        <v>24</v>
      </c>
      <c r="B756" s="18" t="s">
        <v>123</v>
      </c>
    </row>
    <row r="757" customFormat="false" ht="13.5" hidden="false" customHeight="true" outlineLevel="0" collapsed="false">
      <c r="A757" s="17" t="s">
        <v>450</v>
      </c>
      <c r="B757" s="4" t="s">
        <v>1086</v>
      </c>
    </row>
    <row r="758" customFormat="false" ht="13.5" hidden="false" customHeight="true" outlineLevel="0" collapsed="false">
      <c r="A758" s="17" t="s">
        <v>452</v>
      </c>
      <c r="B758" s="18" t="s">
        <v>1087</v>
      </c>
    </row>
    <row r="759" customFormat="false" ht="42" hidden="false" customHeight="true" outlineLevel="0" collapsed="false">
      <c r="A759" s="17" t="s">
        <v>454</v>
      </c>
      <c r="B759" s="4" t="s">
        <v>1088</v>
      </c>
    </row>
    <row r="760" customFormat="false" ht="13.5" hidden="false" customHeight="true" outlineLevel="0" collapsed="false">
      <c r="A760" s="17" t="s">
        <v>456</v>
      </c>
      <c r="B760" s="19" t="s">
        <v>457</v>
      </c>
    </row>
    <row r="761" customFormat="false" ht="13.5" hidden="false" customHeight="true" outlineLevel="0" collapsed="false">
      <c r="A761" s="17" t="s">
        <v>1089</v>
      </c>
      <c r="B761" s="4" t="s">
        <v>1090</v>
      </c>
    </row>
    <row r="762" customFormat="false" ht="13.5" hidden="false" customHeight="true" outlineLevel="0" collapsed="false">
      <c r="A762" s="17"/>
      <c r="B762" s="18" t="s">
        <v>1091</v>
      </c>
    </row>
    <row r="763" customFormat="false" ht="13.5" hidden="false" customHeight="true" outlineLevel="0" collapsed="false">
      <c r="A763" s="17"/>
      <c r="B763" s="4" t="s">
        <v>1092</v>
      </c>
    </row>
    <row r="764" customFormat="false" ht="13.5" hidden="false" customHeight="true" outlineLevel="0" collapsed="false">
      <c r="A764" s="17"/>
      <c r="B764" s="18" t="s">
        <v>1093</v>
      </c>
    </row>
    <row r="765" customFormat="false" ht="27.75" hidden="false" customHeight="true" outlineLevel="0" collapsed="false">
      <c r="A765" s="17"/>
      <c r="B765" s="4" t="s">
        <v>1094</v>
      </c>
    </row>
    <row r="766" customFormat="false" ht="13.5" hidden="false" customHeight="true" outlineLevel="0" collapsed="false">
      <c r="A766" s="17"/>
      <c r="B766" s="18" t="s">
        <v>1095</v>
      </c>
    </row>
    <row r="767" customFormat="false" ht="13.5" hidden="false" customHeight="true" outlineLevel="0" collapsed="false">
      <c r="A767" s="17"/>
      <c r="B767" s="4" t="s">
        <v>1096</v>
      </c>
    </row>
    <row r="770" customFormat="false" ht="15" hidden="false" customHeight="false" outlineLevel="0" collapsed="false">
      <c r="A770" s="15" t="s">
        <v>125</v>
      </c>
      <c r="B770" s="15" t="s">
        <v>1097</v>
      </c>
    </row>
    <row r="771" customFormat="false" ht="15" hidden="false" customHeight="false" outlineLevel="0" collapsed="false">
      <c r="B771" s="16" t="str">
        <f aca="false">HYPERLINK("#Label!G33","← Back to label (row 33)")</f>
        <v>← Back to label (row 33)</v>
      </c>
    </row>
    <row r="772" customFormat="false" ht="13.5" hidden="false" customHeight="true" outlineLevel="0" collapsed="false">
      <c r="A772" s="17" t="s">
        <v>24</v>
      </c>
      <c r="B772" s="18" t="s">
        <v>123</v>
      </c>
    </row>
    <row r="773" customFormat="false" ht="13.5" hidden="false" customHeight="true" outlineLevel="0" collapsed="false">
      <c r="A773" s="17" t="s">
        <v>450</v>
      </c>
      <c r="B773" s="4" t="s">
        <v>1098</v>
      </c>
    </row>
    <row r="774" customFormat="false" ht="13.5" hidden="false" customHeight="true" outlineLevel="0" collapsed="false">
      <c r="A774" s="17" t="s">
        <v>454</v>
      </c>
      <c r="B774" s="19" t="s">
        <v>486</v>
      </c>
    </row>
    <row r="775" customFormat="false" ht="13.5" hidden="false" customHeight="true" outlineLevel="0" collapsed="false">
      <c r="A775" s="17" t="s">
        <v>456</v>
      </c>
      <c r="B775" s="20" t="s">
        <v>457</v>
      </c>
    </row>
    <row r="776" customFormat="false" ht="13.5" hidden="false" customHeight="true" outlineLevel="0" collapsed="false">
      <c r="A776" s="17" t="s">
        <v>519</v>
      </c>
      <c r="B776" s="18" t="s">
        <v>1099</v>
      </c>
    </row>
    <row r="779" customFormat="false" ht="15" hidden="false" customHeight="false" outlineLevel="0" collapsed="false">
      <c r="A779" s="15" t="s">
        <v>128</v>
      </c>
      <c r="B779" s="15" t="s">
        <v>129</v>
      </c>
    </row>
    <row r="780" customFormat="false" ht="15" hidden="false" customHeight="false" outlineLevel="0" collapsed="false">
      <c r="B780" s="16" t="str">
        <f aca="false">HYPERLINK("#Label!G34","← Back to label (row 34)")</f>
        <v>← Back to label (row 34)</v>
      </c>
    </row>
    <row r="781" customFormat="false" ht="13.5" hidden="false" customHeight="true" outlineLevel="0" collapsed="false">
      <c r="A781" s="17" t="s">
        <v>24</v>
      </c>
      <c r="B781" s="18" t="s">
        <v>59</v>
      </c>
    </row>
    <row r="782" customFormat="false" ht="13.5" hidden="false" customHeight="true" outlineLevel="0" collapsed="false">
      <c r="A782" s="17" t="s">
        <v>450</v>
      </c>
      <c r="B782" s="4" t="s">
        <v>1100</v>
      </c>
    </row>
    <row r="783" customFormat="false" ht="13.5" hidden="false" customHeight="true" outlineLevel="0" collapsed="false">
      <c r="A783" s="17" t="s">
        <v>454</v>
      </c>
      <c r="B783" s="19" t="s">
        <v>486</v>
      </c>
    </row>
    <row r="784" customFormat="false" ht="13.5" hidden="false" customHeight="true" outlineLevel="0" collapsed="false">
      <c r="A784" s="17" t="s">
        <v>456</v>
      </c>
      <c r="B784" s="20" t="s">
        <v>457</v>
      </c>
    </row>
    <row r="785" customFormat="false" ht="13.5" hidden="false" customHeight="true" outlineLevel="0" collapsed="false">
      <c r="A785" s="17" t="s">
        <v>514</v>
      </c>
      <c r="B785" s="18" t="s">
        <v>1101</v>
      </c>
    </row>
    <row r="786" customFormat="false" ht="13.5" hidden="false" customHeight="true" outlineLevel="0" collapsed="false">
      <c r="A786" s="17"/>
      <c r="B786" s="4" t="s">
        <v>1102</v>
      </c>
    </row>
    <row r="789" customFormat="false" ht="15" hidden="false" customHeight="false" outlineLevel="0" collapsed="false">
      <c r="A789" s="15" t="s">
        <v>130</v>
      </c>
      <c r="B789" s="15" t="s">
        <v>1103</v>
      </c>
    </row>
    <row r="790" customFormat="false" ht="15" hidden="false" customHeight="false" outlineLevel="0" collapsed="false">
      <c r="B790" s="16" t="str">
        <f aca="false">HYPERLINK("#Label!G35","← Back to label (row 35)")</f>
        <v>← Back to label (row 35)</v>
      </c>
    </row>
    <row r="791" customFormat="false" ht="13.5" hidden="false" customHeight="true" outlineLevel="0" collapsed="false">
      <c r="A791" s="17" t="s">
        <v>24</v>
      </c>
      <c r="B791" s="18" t="s">
        <v>132</v>
      </c>
    </row>
    <row r="792" customFormat="false" ht="13.5" hidden="false" customHeight="true" outlineLevel="0" collapsed="false">
      <c r="A792" s="17" t="s">
        <v>450</v>
      </c>
      <c r="B792" s="4" t="s">
        <v>1104</v>
      </c>
    </row>
    <row r="793" customFormat="false" ht="13.5" hidden="false" customHeight="true" outlineLevel="0" collapsed="false">
      <c r="A793" s="17" t="s">
        <v>454</v>
      </c>
      <c r="B793" s="19" t="s">
        <v>486</v>
      </c>
    </row>
    <row r="794" customFormat="false" ht="13.5" hidden="false" customHeight="true" outlineLevel="0" collapsed="false">
      <c r="A794" s="17" t="s">
        <v>456</v>
      </c>
      <c r="B794" s="4" t="s">
        <v>1105</v>
      </c>
    </row>
    <row r="795" customFormat="false" ht="13.5" hidden="false" customHeight="true" outlineLevel="0" collapsed="false">
      <c r="A795" s="17" t="s">
        <v>525</v>
      </c>
      <c r="B795" s="18" t="s">
        <v>1106</v>
      </c>
    </row>
    <row r="796" customFormat="false" ht="13.5" hidden="false" customHeight="true" outlineLevel="0" collapsed="false">
      <c r="A796" s="17"/>
      <c r="B796" s="4" t="s">
        <v>1107</v>
      </c>
    </row>
    <row r="797" customFormat="false" ht="13.5" hidden="false" customHeight="true" outlineLevel="0" collapsed="false">
      <c r="A797" s="17"/>
      <c r="B797" s="18" t="s">
        <v>1108</v>
      </c>
    </row>
    <row r="798" customFormat="false" ht="13.5" hidden="false" customHeight="true" outlineLevel="0" collapsed="false">
      <c r="A798" s="17"/>
      <c r="B798" s="4" t="s">
        <v>1109</v>
      </c>
    </row>
    <row r="799" customFormat="false" ht="13.5" hidden="false" customHeight="true" outlineLevel="0" collapsed="false">
      <c r="A799" s="17"/>
      <c r="B799" s="18" t="s">
        <v>1110</v>
      </c>
    </row>
    <row r="800" customFormat="false" ht="13.5" hidden="false" customHeight="true" outlineLevel="0" collapsed="false">
      <c r="A800" s="17"/>
      <c r="B800" s="4" t="s">
        <v>1111</v>
      </c>
    </row>
    <row r="801" customFormat="false" ht="13.5" hidden="false" customHeight="true" outlineLevel="0" collapsed="false">
      <c r="A801" s="17"/>
      <c r="B801" s="18" t="s">
        <v>1112</v>
      </c>
    </row>
    <row r="802" customFormat="false" ht="13.5" hidden="false" customHeight="true" outlineLevel="0" collapsed="false">
      <c r="A802" s="17"/>
      <c r="B802" s="4" t="s">
        <v>1113</v>
      </c>
    </row>
    <row r="803" customFormat="false" ht="13.5" hidden="false" customHeight="true" outlineLevel="0" collapsed="false">
      <c r="A803" s="17"/>
      <c r="B803" s="18" t="s">
        <v>1114</v>
      </c>
    </row>
    <row r="804" customFormat="false" ht="13.5" hidden="false" customHeight="true" outlineLevel="0" collapsed="false">
      <c r="A804" s="17"/>
      <c r="B804" s="4" t="s">
        <v>1115</v>
      </c>
    </row>
    <row r="805" customFormat="false" ht="13.5" hidden="false" customHeight="true" outlineLevel="0" collapsed="false">
      <c r="A805" s="17"/>
      <c r="B805" s="18" t="s">
        <v>1116</v>
      </c>
    </row>
    <row r="806" customFormat="false" ht="13.5" hidden="false" customHeight="true" outlineLevel="0" collapsed="false">
      <c r="A806" s="17"/>
      <c r="B806" s="4" t="s">
        <v>1117</v>
      </c>
    </row>
    <row r="807" customFormat="false" ht="13.5" hidden="false" customHeight="true" outlineLevel="0" collapsed="false">
      <c r="A807" s="17"/>
      <c r="B807" s="18" t="s">
        <v>1118</v>
      </c>
    </row>
    <row r="808" customFormat="false" ht="13.5" hidden="false" customHeight="true" outlineLevel="0" collapsed="false">
      <c r="A808" s="17"/>
      <c r="B808" s="4" t="s">
        <v>1119</v>
      </c>
    </row>
    <row r="809" customFormat="false" ht="13.5" hidden="false" customHeight="true" outlineLevel="0" collapsed="false">
      <c r="A809" s="17"/>
      <c r="B809" s="18" t="s">
        <v>1120</v>
      </c>
    </row>
    <row r="810" customFormat="false" ht="13.5" hidden="false" customHeight="true" outlineLevel="0" collapsed="false">
      <c r="A810" s="17"/>
      <c r="B810" s="4" t="s">
        <v>1121</v>
      </c>
    </row>
    <row r="811" customFormat="false" ht="13.5" hidden="false" customHeight="true" outlineLevel="0" collapsed="false">
      <c r="A811" s="17"/>
      <c r="B811" s="18" t="s">
        <v>1122</v>
      </c>
    </row>
    <row r="812" customFormat="false" ht="13.5" hidden="false" customHeight="true" outlineLevel="0" collapsed="false">
      <c r="A812" s="17"/>
      <c r="B812" s="4" t="s">
        <v>1123</v>
      </c>
    </row>
    <row r="813" customFormat="false" ht="13.5" hidden="false" customHeight="true" outlineLevel="0" collapsed="false">
      <c r="A813" s="17"/>
      <c r="B813" s="18" t="s">
        <v>1124</v>
      </c>
    </row>
    <row r="814" customFormat="false" ht="13.5" hidden="false" customHeight="true" outlineLevel="0" collapsed="false">
      <c r="A814" s="17"/>
      <c r="B814" s="4" t="s">
        <v>1125</v>
      </c>
    </row>
    <row r="815" customFormat="false" ht="13.5" hidden="false" customHeight="true" outlineLevel="0" collapsed="false">
      <c r="A815" s="17"/>
      <c r="B815" s="18" t="s">
        <v>1126</v>
      </c>
    </row>
    <row r="816" customFormat="false" ht="13.5" hidden="false" customHeight="true" outlineLevel="0" collapsed="false">
      <c r="A816" s="17"/>
      <c r="B816" s="4" t="s">
        <v>1127</v>
      </c>
    </row>
    <row r="817" customFormat="false" ht="13.5" hidden="false" customHeight="true" outlineLevel="0" collapsed="false">
      <c r="A817" s="17"/>
      <c r="B817" s="18" t="s">
        <v>1128</v>
      </c>
    </row>
    <row r="818" customFormat="false" ht="13.5" hidden="false" customHeight="true" outlineLevel="0" collapsed="false">
      <c r="A818" s="17"/>
      <c r="B818" s="4" t="s">
        <v>1129</v>
      </c>
    </row>
    <row r="819" customFormat="false" ht="13.5" hidden="false" customHeight="true" outlineLevel="0" collapsed="false">
      <c r="A819" s="17"/>
      <c r="B819" s="18" t="s">
        <v>1130</v>
      </c>
    </row>
    <row r="820" customFormat="false" ht="13.5" hidden="false" customHeight="true" outlineLevel="0" collapsed="false">
      <c r="A820" s="17"/>
      <c r="B820" s="4" t="s">
        <v>1131</v>
      </c>
    </row>
    <row r="821" customFormat="false" ht="13.5" hidden="false" customHeight="true" outlineLevel="0" collapsed="false">
      <c r="A821" s="17"/>
      <c r="B821" s="18" t="s">
        <v>1132</v>
      </c>
    </row>
    <row r="822" customFormat="false" ht="13.5" hidden="false" customHeight="true" outlineLevel="0" collapsed="false">
      <c r="A822" s="17"/>
      <c r="B822" s="4" t="s">
        <v>1133</v>
      </c>
    </row>
    <row r="823" customFormat="false" ht="13.5" hidden="false" customHeight="true" outlineLevel="0" collapsed="false">
      <c r="A823" s="17"/>
      <c r="B823" s="18" t="s">
        <v>1134</v>
      </c>
    </row>
    <row r="824" customFormat="false" ht="13.5" hidden="false" customHeight="true" outlineLevel="0" collapsed="false">
      <c r="A824" s="17"/>
      <c r="B824" s="4" t="s">
        <v>1135</v>
      </c>
    </row>
    <row r="825" customFormat="false" ht="13.5" hidden="false" customHeight="true" outlineLevel="0" collapsed="false">
      <c r="A825" s="17"/>
      <c r="B825" s="18" t="s">
        <v>1136</v>
      </c>
    </row>
    <row r="826" customFormat="false" ht="13.5" hidden="false" customHeight="true" outlineLevel="0" collapsed="false">
      <c r="A826" s="17"/>
      <c r="B826" s="4" t="s">
        <v>1137</v>
      </c>
    </row>
    <row r="827" customFormat="false" ht="13.5" hidden="false" customHeight="true" outlineLevel="0" collapsed="false">
      <c r="A827" s="17"/>
      <c r="B827" s="18" t="s">
        <v>1138</v>
      </c>
    </row>
    <row r="828" customFormat="false" ht="13.5" hidden="false" customHeight="true" outlineLevel="0" collapsed="false">
      <c r="A828" s="17"/>
      <c r="B828" s="4" t="s">
        <v>1139</v>
      </c>
    </row>
    <row r="831" customFormat="false" ht="15" hidden="false" customHeight="false" outlineLevel="0" collapsed="false">
      <c r="A831" s="15" t="s">
        <v>133</v>
      </c>
      <c r="B831" s="15" t="s">
        <v>1140</v>
      </c>
    </row>
    <row r="832" customFormat="false" ht="15" hidden="false" customHeight="false" outlineLevel="0" collapsed="false">
      <c r="B832" s="16" t="str">
        <f aca="false">HYPERLINK("#Label!G36","← Back to label (row 36)")</f>
        <v>← Back to label (row 36)</v>
      </c>
    </row>
    <row r="833" customFormat="false" ht="13.5" hidden="false" customHeight="true" outlineLevel="0" collapsed="false">
      <c r="A833" s="17" t="s">
        <v>24</v>
      </c>
      <c r="B833" s="18" t="s">
        <v>71</v>
      </c>
    </row>
    <row r="834" customFormat="false" ht="13.5" hidden="false" customHeight="true" outlineLevel="0" collapsed="false">
      <c r="A834" s="17" t="s">
        <v>450</v>
      </c>
      <c r="B834" s="4" t="s">
        <v>1141</v>
      </c>
    </row>
    <row r="835" customFormat="false" ht="13.5" hidden="false" customHeight="true" outlineLevel="0" collapsed="false">
      <c r="A835" s="17" t="s">
        <v>452</v>
      </c>
      <c r="B835" s="18" t="s">
        <v>1142</v>
      </c>
    </row>
    <row r="836" customFormat="false" ht="126" hidden="false" customHeight="true" outlineLevel="0" collapsed="false">
      <c r="A836" s="17" t="s">
        <v>454</v>
      </c>
      <c r="B836" s="4" t="s">
        <v>1143</v>
      </c>
    </row>
    <row r="837" customFormat="false" ht="13.5" hidden="false" customHeight="true" outlineLevel="0" collapsed="false">
      <c r="A837" s="17" t="s">
        <v>456</v>
      </c>
      <c r="B837" s="19" t="s">
        <v>457</v>
      </c>
    </row>
    <row r="838" customFormat="false" ht="13.5" hidden="false" customHeight="true" outlineLevel="0" collapsed="false">
      <c r="A838" s="17" t="s">
        <v>564</v>
      </c>
      <c r="B838" s="4" t="s">
        <v>1144</v>
      </c>
    </row>
    <row r="839" customFormat="false" ht="13.5" hidden="false" customHeight="true" outlineLevel="0" collapsed="false">
      <c r="A839" s="17"/>
      <c r="B839" s="18" t="s">
        <v>1145</v>
      </c>
    </row>
    <row r="840" customFormat="false" ht="13.5" hidden="false" customHeight="true" outlineLevel="0" collapsed="false">
      <c r="A840" s="17"/>
      <c r="B840" s="4" t="s">
        <v>1146</v>
      </c>
    </row>
    <row r="841" customFormat="false" ht="13.5" hidden="false" customHeight="true" outlineLevel="0" collapsed="false">
      <c r="A841" s="17"/>
      <c r="B841" s="18" t="s">
        <v>1147</v>
      </c>
    </row>
    <row r="842" customFormat="false" ht="13.5" hidden="false" customHeight="true" outlineLevel="0" collapsed="false">
      <c r="A842" s="17"/>
      <c r="B842" s="4" t="s">
        <v>1148</v>
      </c>
    </row>
    <row r="843" customFormat="false" ht="13.5" hidden="false" customHeight="true" outlineLevel="0" collapsed="false">
      <c r="A843" s="17"/>
      <c r="B843" s="18" t="s">
        <v>1149</v>
      </c>
    </row>
    <row r="846" customFormat="false" ht="15" hidden="false" customHeight="false" outlineLevel="0" collapsed="false">
      <c r="A846" s="15" t="s">
        <v>135</v>
      </c>
      <c r="B846" s="15" t="s">
        <v>1150</v>
      </c>
    </row>
    <row r="847" customFormat="false" ht="15" hidden="false" customHeight="false" outlineLevel="0" collapsed="false">
      <c r="B847" s="16" t="str">
        <f aca="false">HYPERLINK("#Label!G37","← Back to label (row 37)")</f>
        <v>← Back to label (row 37)</v>
      </c>
    </row>
    <row r="848" customFormat="false" ht="13.5" hidden="false" customHeight="true" outlineLevel="0" collapsed="false">
      <c r="A848" s="17" t="s">
        <v>24</v>
      </c>
      <c r="B848" s="18" t="s">
        <v>67</v>
      </c>
    </row>
    <row r="849" customFormat="false" ht="13.5" hidden="false" customHeight="true" outlineLevel="0" collapsed="false">
      <c r="A849" s="17" t="s">
        <v>450</v>
      </c>
      <c r="B849" s="4" t="s">
        <v>1151</v>
      </c>
    </row>
    <row r="850" customFormat="false" ht="13.5" hidden="false" customHeight="true" outlineLevel="0" collapsed="false">
      <c r="A850" s="17" t="s">
        <v>452</v>
      </c>
      <c r="B850" s="18" t="s">
        <v>1152</v>
      </c>
    </row>
    <row r="851" customFormat="false" ht="168" hidden="false" customHeight="true" outlineLevel="0" collapsed="false">
      <c r="A851" s="17" t="s">
        <v>454</v>
      </c>
      <c r="B851" s="4" t="s">
        <v>1153</v>
      </c>
    </row>
    <row r="852" customFormat="false" ht="13.5" hidden="false" customHeight="true" outlineLevel="0" collapsed="false">
      <c r="A852" s="17" t="s">
        <v>456</v>
      </c>
      <c r="B852" s="19" t="s">
        <v>457</v>
      </c>
    </row>
    <row r="853" customFormat="false" ht="13.5" hidden="false" customHeight="true" outlineLevel="0" collapsed="false">
      <c r="A853" s="17" t="s">
        <v>514</v>
      </c>
      <c r="B853" s="4" t="s">
        <v>1154</v>
      </c>
    </row>
    <row r="854" customFormat="false" ht="27.75" hidden="false" customHeight="true" outlineLevel="0" collapsed="false">
      <c r="A854" s="17"/>
      <c r="B854" s="18" t="s">
        <v>1155</v>
      </c>
    </row>
    <row r="857" customFormat="false" ht="15" hidden="false" customHeight="false" outlineLevel="0" collapsed="false">
      <c r="A857" s="15" t="s">
        <v>138</v>
      </c>
      <c r="B857" s="15" t="s">
        <v>1156</v>
      </c>
    </row>
    <row r="858" customFormat="false" ht="15" hidden="false" customHeight="false" outlineLevel="0" collapsed="false">
      <c r="B858" s="16" t="str">
        <f aca="false">HYPERLINK("#Label!G38","← Back to label (row 38)")</f>
        <v>← Back to label (row 38)</v>
      </c>
    </row>
    <row r="859" customFormat="false" ht="13.5" hidden="false" customHeight="true" outlineLevel="0" collapsed="false">
      <c r="A859" s="17" t="s">
        <v>24</v>
      </c>
      <c r="B859" s="18" t="s">
        <v>53</v>
      </c>
    </row>
    <row r="860" customFormat="false" ht="13.5" hidden="false" customHeight="true" outlineLevel="0" collapsed="false">
      <c r="A860" s="17" t="s">
        <v>450</v>
      </c>
      <c r="B860" s="4" t="s">
        <v>1157</v>
      </c>
    </row>
    <row r="861" customFormat="false" ht="13.5" hidden="false" customHeight="true" outlineLevel="0" collapsed="false">
      <c r="A861" s="17" t="s">
        <v>452</v>
      </c>
      <c r="B861" s="18" t="s">
        <v>1158</v>
      </c>
    </row>
    <row r="862" customFormat="false" ht="97.5" hidden="false" customHeight="true" outlineLevel="0" collapsed="false">
      <c r="A862" s="17" t="s">
        <v>454</v>
      </c>
      <c r="B862" s="4" t="s">
        <v>1159</v>
      </c>
    </row>
    <row r="863" customFormat="false" ht="13.5" hidden="false" customHeight="true" outlineLevel="0" collapsed="false">
      <c r="A863" s="17" t="s">
        <v>456</v>
      </c>
      <c r="B863" s="19" t="s">
        <v>457</v>
      </c>
    </row>
    <row r="864" customFormat="false" ht="13.5" hidden="false" customHeight="true" outlineLevel="0" collapsed="false">
      <c r="A864" s="17" t="s">
        <v>1160</v>
      </c>
      <c r="B864" s="4" t="s">
        <v>1161</v>
      </c>
    </row>
    <row r="865" customFormat="false" ht="13.5" hidden="false" customHeight="true" outlineLevel="0" collapsed="false">
      <c r="A865" s="17"/>
      <c r="B865" s="18" t="s">
        <v>1162</v>
      </c>
    </row>
    <row r="866" customFormat="false" ht="13.5" hidden="false" customHeight="true" outlineLevel="0" collapsed="false">
      <c r="A866" s="17"/>
      <c r="B866" s="4" t="s">
        <v>1163</v>
      </c>
    </row>
    <row r="867" customFormat="false" ht="27.75" hidden="false" customHeight="true" outlineLevel="0" collapsed="false">
      <c r="A867" s="17"/>
      <c r="B867" s="18" t="s">
        <v>1164</v>
      </c>
    </row>
    <row r="868" customFormat="false" ht="27.75" hidden="false" customHeight="true" outlineLevel="0" collapsed="false">
      <c r="A868" s="17"/>
      <c r="B868" s="4" t="s">
        <v>1165</v>
      </c>
    </row>
    <row r="869" customFormat="false" ht="13.5" hidden="false" customHeight="true" outlineLevel="0" collapsed="false">
      <c r="A869" s="17"/>
      <c r="B869" s="18" t="s">
        <v>1166</v>
      </c>
    </row>
    <row r="870" customFormat="false" ht="13.5" hidden="false" customHeight="true" outlineLevel="0" collapsed="false">
      <c r="A870" s="17"/>
      <c r="B870" s="4" t="s">
        <v>1167</v>
      </c>
    </row>
    <row r="871" customFormat="false" ht="13.5" hidden="false" customHeight="true" outlineLevel="0" collapsed="false">
      <c r="A871" s="17"/>
      <c r="B871" s="18" t="s">
        <v>1168</v>
      </c>
    </row>
    <row r="872" customFormat="false" ht="13.5" hidden="false" customHeight="true" outlineLevel="0" collapsed="false">
      <c r="A872" s="17"/>
      <c r="B872" s="4" t="s">
        <v>1169</v>
      </c>
    </row>
    <row r="873" customFormat="false" ht="13.5" hidden="false" customHeight="true" outlineLevel="0" collapsed="false">
      <c r="A873" s="17"/>
      <c r="B873" s="18" t="s">
        <v>1170</v>
      </c>
    </row>
    <row r="874" customFormat="false" ht="13.5" hidden="false" customHeight="true" outlineLevel="0" collapsed="false">
      <c r="A874" s="17"/>
      <c r="B874" s="4" t="s">
        <v>1171</v>
      </c>
    </row>
    <row r="875" customFormat="false" ht="27.75" hidden="false" customHeight="true" outlineLevel="0" collapsed="false">
      <c r="A875" s="17"/>
      <c r="B875" s="18" t="s">
        <v>1172</v>
      </c>
    </row>
    <row r="876" customFormat="false" ht="13.5" hidden="false" customHeight="true" outlineLevel="0" collapsed="false">
      <c r="A876" s="17"/>
      <c r="B876" s="4" t="s">
        <v>1173</v>
      </c>
    </row>
    <row r="877" customFormat="false" ht="13.5" hidden="false" customHeight="true" outlineLevel="0" collapsed="false">
      <c r="A877" s="17"/>
      <c r="B877" s="18" t="s">
        <v>1174</v>
      </c>
    </row>
    <row r="878" customFormat="false" ht="13.5" hidden="false" customHeight="true" outlineLevel="0" collapsed="false">
      <c r="A878" s="17"/>
      <c r="B878" s="4" t="s">
        <v>1175</v>
      </c>
    </row>
    <row r="879" customFormat="false" ht="27.75" hidden="false" customHeight="true" outlineLevel="0" collapsed="false">
      <c r="A879" s="17"/>
      <c r="B879" s="18" t="s">
        <v>1176</v>
      </c>
    </row>
    <row r="880" customFormat="false" ht="13.5" hidden="false" customHeight="true" outlineLevel="0" collapsed="false">
      <c r="A880" s="17"/>
      <c r="B880" s="4" t="s">
        <v>1177</v>
      </c>
    </row>
    <row r="881" customFormat="false" ht="13.5" hidden="false" customHeight="true" outlineLevel="0" collapsed="false">
      <c r="A881" s="17"/>
      <c r="B881" s="18" t="s">
        <v>1178</v>
      </c>
    </row>
    <row r="882" customFormat="false" ht="13.5" hidden="false" customHeight="true" outlineLevel="0" collapsed="false">
      <c r="A882" s="17"/>
      <c r="B882" s="4" t="s">
        <v>1179</v>
      </c>
    </row>
    <row r="885" customFormat="false" ht="15" hidden="false" customHeight="false" outlineLevel="0" collapsed="false">
      <c r="A885" s="15" t="s">
        <v>140</v>
      </c>
      <c r="B885" s="15" t="s">
        <v>1180</v>
      </c>
    </row>
    <row r="886" customFormat="false" ht="15" hidden="false" customHeight="false" outlineLevel="0" collapsed="false">
      <c r="B886" s="16" t="str">
        <f aca="false">HYPERLINK("#Label!G39","← Back to label (row 39)")</f>
        <v>← Back to label (row 39)</v>
      </c>
    </row>
    <row r="887" customFormat="false" ht="13.5" hidden="false" customHeight="true" outlineLevel="0" collapsed="false">
      <c r="A887" s="17" t="s">
        <v>24</v>
      </c>
      <c r="B887" s="18" t="s">
        <v>49</v>
      </c>
    </row>
    <row r="888" customFormat="false" ht="13.5" hidden="false" customHeight="true" outlineLevel="0" collapsed="false">
      <c r="A888" s="17" t="s">
        <v>450</v>
      </c>
      <c r="B888" s="4" t="s">
        <v>1181</v>
      </c>
    </row>
    <row r="889" customFormat="false" ht="13.5" hidden="false" customHeight="true" outlineLevel="0" collapsed="false">
      <c r="A889" s="17" t="s">
        <v>452</v>
      </c>
      <c r="B889" s="18" t="s">
        <v>1182</v>
      </c>
    </row>
    <row r="890" customFormat="false" ht="27.75" hidden="false" customHeight="true" outlineLevel="0" collapsed="false">
      <c r="A890" s="17" t="s">
        <v>454</v>
      </c>
      <c r="B890" s="4" t="s">
        <v>1183</v>
      </c>
    </row>
    <row r="891" customFormat="false" ht="13.5" hidden="false" customHeight="true" outlineLevel="0" collapsed="false">
      <c r="A891" s="17" t="s">
        <v>456</v>
      </c>
      <c r="B891" s="19" t="s">
        <v>457</v>
      </c>
    </row>
    <row r="892" customFormat="false" ht="27.75" hidden="false" customHeight="true" outlineLevel="0" collapsed="false">
      <c r="A892" s="17" t="s">
        <v>514</v>
      </c>
      <c r="B892" s="4" t="s">
        <v>1184</v>
      </c>
    </row>
    <row r="893" customFormat="false" ht="27.75" hidden="false" customHeight="true" outlineLevel="0" collapsed="false">
      <c r="A893" s="17"/>
      <c r="B893" s="18" t="s">
        <v>1185</v>
      </c>
    </row>
    <row r="896" customFormat="false" ht="15" hidden="false" customHeight="false" outlineLevel="0" collapsed="false">
      <c r="A896" s="15" t="s">
        <v>143</v>
      </c>
      <c r="B896" s="15" t="s">
        <v>1186</v>
      </c>
    </row>
    <row r="897" customFormat="false" ht="15" hidden="false" customHeight="false" outlineLevel="0" collapsed="false">
      <c r="B897" s="16" t="str">
        <f aca="false">HYPERLINK("#Label!G40","← Back to label (row 40)")</f>
        <v>← Back to label (row 40)</v>
      </c>
    </row>
    <row r="898" customFormat="false" ht="13.5" hidden="false" customHeight="true" outlineLevel="0" collapsed="false">
      <c r="A898" s="17" t="s">
        <v>24</v>
      </c>
      <c r="B898" s="18" t="s">
        <v>59</v>
      </c>
    </row>
    <row r="899" customFormat="false" ht="13.5" hidden="false" customHeight="true" outlineLevel="0" collapsed="false">
      <c r="A899" s="17" t="s">
        <v>450</v>
      </c>
      <c r="B899" s="4" t="s">
        <v>1187</v>
      </c>
    </row>
    <row r="900" customFormat="false" ht="13.5" hidden="false" customHeight="true" outlineLevel="0" collapsed="false">
      <c r="A900" s="17" t="s">
        <v>454</v>
      </c>
      <c r="B900" s="19" t="s">
        <v>486</v>
      </c>
    </row>
    <row r="901" customFormat="false" ht="13.5" hidden="false" customHeight="true" outlineLevel="0" collapsed="false">
      <c r="A901" s="17" t="s">
        <v>456</v>
      </c>
      <c r="B901" s="20" t="s">
        <v>457</v>
      </c>
    </row>
    <row r="902" customFormat="false" ht="27.75" hidden="false" customHeight="true" outlineLevel="0" collapsed="false">
      <c r="A902" s="17" t="s">
        <v>500</v>
      </c>
      <c r="B902" s="18" t="s">
        <v>1188</v>
      </c>
    </row>
    <row r="903" customFormat="false" ht="13.5" hidden="false" customHeight="true" outlineLevel="0" collapsed="false">
      <c r="A903" s="17"/>
      <c r="B903" s="4" t="s">
        <v>1189</v>
      </c>
    </row>
    <row r="904" customFormat="false" ht="13.5" hidden="false" customHeight="true" outlineLevel="0" collapsed="false">
      <c r="A904" s="17"/>
      <c r="B904" s="18" t="s">
        <v>1190</v>
      </c>
    </row>
    <row r="907" customFormat="false" ht="15" hidden="false" customHeight="false" outlineLevel="0" collapsed="false">
      <c r="A907" s="15" t="s">
        <v>146</v>
      </c>
      <c r="B907" s="15" t="s">
        <v>1191</v>
      </c>
    </row>
    <row r="908" customFormat="false" ht="15" hidden="false" customHeight="false" outlineLevel="0" collapsed="false">
      <c r="B908" s="16" t="str">
        <f aca="false">HYPERLINK("#Label!G41","← Back to label (row 41)")</f>
        <v>← Back to label (row 41)</v>
      </c>
    </row>
    <row r="909" customFormat="false" ht="13.5" hidden="false" customHeight="true" outlineLevel="0" collapsed="false">
      <c r="A909" s="17" t="s">
        <v>24</v>
      </c>
      <c r="B909" s="18" t="s">
        <v>98</v>
      </c>
    </row>
    <row r="910" customFormat="false" ht="13.5" hidden="false" customHeight="true" outlineLevel="0" collapsed="false">
      <c r="A910" s="17" t="s">
        <v>450</v>
      </c>
      <c r="B910" s="4" t="s">
        <v>1192</v>
      </c>
    </row>
    <row r="911" customFormat="false" ht="13.5" hidden="false" customHeight="true" outlineLevel="0" collapsed="false">
      <c r="A911" s="17" t="s">
        <v>454</v>
      </c>
      <c r="B911" s="19" t="s">
        <v>486</v>
      </c>
    </row>
    <row r="912" customFormat="false" ht="13.5" hidden="false" customHeight="true" outlineLevel="0" collapsed="false">
      <c r="A912" s="17" t="s">
        <v>456</v>
      </c>
      <c r="B912" s="20" t="s">
        <v>457</v>
      </c>
    </row>
    <row r="913" customFormat="false" ht="13.5" hidden="false" customHeight="true" outlineLevel="0" collapsed="false">
      <c r="A913" s="17" t="s">
        <v>519</v>
      </c>
      <c r="B913" s="18" t="s">
        <v>567</v>
      </c>
    </row>
    <row r="916" customFormat="false" ht="15" hidden="false" customHeight="false" outlineLevel="0" collapsed="false">
      <c r="A916" s="15" t="s">
        <v>148</v>
      </c>
      <c r="B916" s="15" t="s">
        <v>1193</v>
      </c>
    </row>
    <row r="917" customFormat="false" ht="15" hidden="false" customHeight="false" outlineLevel="0" collapsed="false">
      <c r="B917" s="16" t="str">
        <f aca="false">HYPERLINK("#Label!G42","← Back to label (row 42)")</f>
        <v>← Back to label (row 42)</v>
      </c>
    </row>
    <row r="918" customFormat="false" ht="13.5" hidden="false" customHeight="true" outlineLevel="0" collapsed="false">
      <c r="A918" s="17" t="s">
        <v>24</v>
      </c>
      <c r="B918" s="18" t="s">
        <v>75</v>
      </c>
    </row>
    <row r="919" customFormat="false" ht="13.5" hidden="false" customHeight="true" outlineLevel="0" collapsed="false">
      <c r="A919" s="17" t="s">
        <v>450</v>
      </c>
      <c r="B919" s="4" t="s">
        <v>1194</v>
      </c>
    </row>
    <row r="920" customFormat="false" ht="13.5" hidden="false" customHeight="true" outlineLevel="0" collapsed="false">
      <c r="A920" s="17" t="s">
        <v>454</v>
      </c>
      <c r="B920" s="19" t="s">
        <v>486</v>
      </c>
    </row>
    <row r="921" customFormat="false" ht="13.5" hidden="false" customHeight="true" outlineLevel="0" collapsed="false">
      <c r="A921" s="17" t="s">
        <v>456</v>
      </c>
      <c r="B921" s="20" t="s">
        <v>457</v>
      </c>
    </row>
    <row r="922" customFormat="false" ht="13.5" hidden="false" customHeight="true" outlineLevel="0" collapsed="false">
      <c r="A922" s="17" t="s">
        <v>1195</v>
      </c>
      <c r="B922" s="18" t="s">
        <v>1196</v>
      </c>
    </row>
    <row r="923" customFormat="false" ht="27.75" hidden="false" customHeight="true" outlineLevel="0" collapsed="false">
      <c r="A923" s="17"/>
      <c r="B923" s="4" t="s">
        <v>1197</v>
      </c>
    </row>
    <row r="924" customFormat="false" ht="13.5" hidden="false" customHeight="true" outlineLevel="0" collapsed="false">
      <c r="A924" s="17"/>
      <c r="B924" s="18" t="s">
        <v>1198</v>
      </c>
    </row>
    <row r="925" customFormat="false" ht="13.5" hidden="false" customHeight="true" outlineLevel="0" collapsed="false">
      <c r="A925" s="17"/>
      <c r="B925" s="4" t="s">
        <v>1199</v>
      </c>
    </row>
    <row r="928" customFormat="false" ht="15" hidden="false" customHeight="false" outlineLevel="0" collapsed="false">
      <c r="A928" s="15" t="s">
        <v>151</v>
      </c>
      <c r="B928" s="15" t="s">
        <v>1200</v>
      </c>
    </row>
    <row r="929" customFormat="false" ht="15" hidden="false" customHeight="false" outlineLevel="0" collapsed="false">
      <c r="B929" s="16" t="str">
        <f aca="false">HYPERLINK("#Label!G43","← Back to label (row 43)")</f>
        <v>← Back to label (row 43)</v>
      </c>
    </row>
    <row r="930" customFormat="false" ht="13.5" hidden="false" customHeight="true" outlineLevel="0" collapsed="false">
      <c r="A930" s="17" t="s">
        <v>24</v>
      </c>
      <c r="B930" s="18" t="s">
        <v>153</v>
      </c>
    </row>
    <row r="931" customFormat="false" ht="13.5" hidden="false" customHeight="true" outlineLevel="0" collapsed="false">
      <c r="A931" s="17" t="s">
        <v>450</v>
      </c>
      <c r="B931" s="4" t="s">
        <v>1201</v>
      </c>
    </row>
    <row r="932" customFormat="false" ht="13.5" hidden="false" customHeight="true" outlineLevel="0" collapsed="false">
      <c r="A932" s="17" t="s">
        <v>452</v>
      </c>
      <c r="B932" s="18" t="s">
        <v>1202</v>
      </c>
    </row>
    <row r="933" customFormat="false" ht="168" hidden="false" customHeight="true" outlineLevel="0" collapsed="false">
      <c r="A933" s="17" t="s">
        <v>454</v>
      </c>
      <c r="B933" s="4" t="s">
        <v>1203</v>
      </c>
    </row>
    <row r="934" customFormat="false" ht="13.5" hidden="false" customHeight="true" outlineLevel="0" collapsed="false">
      <c r="A934" s="17" t="s">
        <v>456</v>
      </c>
      <c r="B934" s="19" t="s">
        <v>457</v>
      </c>
    </row>
    <row r="935" customFormat="false" ht="13.5" hidden="false" customHeight="true" outlineLevel="0" collapsed="false">
      <c r="A935" s="17" t="s">
        <v>1066</v>
      </c>
      <c r="B935" s="4" t="s">
        <v>1204</v>
      </c>
    </row>
    <row r="936" customFormat="false" ht="13.5" hidden="false" customHeight="true" outlineLevel="0" collapsed="false">
      <c r="A936" s="17"/>
      <c r="B936" s="18" t="s">
        <v>1205</v>
      </c>
    </row>
    <row r="937" customFormat="false" ht="13.5" hidden="false" customHeight="true" outlineLevel="0" collapsed="false">
      <c r="A937" s="17"/>
      <c r="B937" s="4" t="s">
        <v>1206</v>
      </c>
    </row>
    <row r="938" customFormat="false" ht="13.5" hidden="false" customHeight="true" outlineLevel="0" collapsed="false">
      <c r="A938" s="17"/>
      <c r="B938" s="18" t="s">
        <v>1207</v>
      </c>
    </row>
    <row r="939" customFormat="false" ht="13.5" hidden="false" customHeight="true" outlineLevel="0" collapsed="false">
      <c r="A939" s="17"/>
      <c r="B939" s="4" t="s">
        <v>1208</v>
      </c>
    </row>
    <row r="940" customFormat="false" ht="13.5" hidden="false" customHeight="true" outlineLevel="0" collapsed="false">
      <c r="A940" s="17"/>
      <c r="B940" s="18" t="s">
        <v>1209</v>
      </c>
    </row>
    <row r="941" customFormat="false" ht="13.5" hidden="false" customHeight="true" outlineLevel="0" collapsed="false">
      <c r="A941" s="17"/>
      <c r="B941" s="4" t="s">
        <v>1210</v>
      </c>
    </row>
    <row r="942" customFormat="false" ht="27.75" hidden="false" customHeight="true" outlineLevel="0" collapsed="false">
      <c r="A942" s="17"/>
      <c r="B942" s="18" t="s">
        <v>1211</v>
      </c>
    </row>
    <row r="943" customFormat="false" ht="27.75" hidden="false" customHeight="true" outlineLevel="0" collapsed="false">
      <c r="A943" s="17"/>
      <c r="B943" s="4" t="s">
        <v>1212</v>
      </c>
    </row>
    <row r="944" customFormat="false" ht="13.5" hidden="false" customHeight="true" outlineLevel="0" collapsed="false">
      <c r="A944" s="17"/>
      <c r="B944" s="18" t="s">
        <v>1213</v>
      </c>
    </row>
    <row r="945" customFormat="false" ht="27.75" hidden="false" customHeight="true" outlineLevel="0" collapsed="false">
      <c r="A945" s="17"/>
      <c r="B945" s="4" t="s">
        <v>1214</v>
      </c>
    </row>
    <row r="946" customFormat="false" ht="27.75" hidden="false" customHeight="true" outlineLevel="0" collapsed="false">
      <c r="A946" s="17"/>
      <c r="B946" s="18" t="s">
        <v>1215</v>
      </c>
    </row>
    <row r="947" customFormat="false" ht="13.5" hidden="false" customHeight="true" outlineLevel="0" collapsed="false">
      <c r="A947" s="17"/>
      <c r="B947" s="4" t="s">
        <v>1216</v>
      </c>
    </row>
    <row r="948" customFormat="false" ht="13.5" hidden="false" customHeight="true" outlineLevel="0" collapsed="false">
      <c r="A948" s="17"/>
      <c r="B948" s="18" t="s">
        <v>1217</v>
      </c>
    </row>
    <row r="949" customFormat="false" ht="27.75" hidden="false" customHeight="true" outlineLevel="0" collapsed="false">
      <c r="A949" s="17"/>
      <c r="B949" s="4" t="s">
        <v>1218</v>
      </c>
    </row>
    <row r="950" customFormat="false" ht="27.75" hidden="false" customHeight="true" outlineLevel="0" collapsed="false">
      <c r="A950" s="17"/>
      <c r="B950" s="18" t="s">
        <v>1219</v>
      </c>
    </row>
    <row r="951" customFormat="false" ht="13.5" hidden="false" customHeight="true" outlineLevel="0" collapsed="false">
      <c r="A951" s="17"/>
      <c r="B951" s="4" t="s">
        <v>1220</v>
      </c>
    </row>
    <row r="952" customFormat="false" ht="13.5" hidden="false" customHeight="true" outlineLevel="0" collapsed="false">
      <c r="A952" s="17"/>
      <c r="B952" s="18" t="s">
        <v>1221</v>
      </c>
    </row>
    <row r="955" customFormat="false" ht="15" hidden="false" customHeight="false" outlineLevel="0" collapsed="false">
      <c r="A955" s="15" t="s">
        <v>155</v>
      </c>
      <c r="B955" s="15" t="s">
        <v>156</v>
      </c>
    </row>
    <row r="956" customFormat="false" ht="15" hidden="false" customHeight="false" outlineLevel="0" collapsed="false">
      <c r="B956" s="16" t="str">
        <f aca="false">HYPERLINK("#Label!G44","← Back to label (row 44)")</f>
        <v>← Back to label (row 44)</v>
      </c>
    </row>
    <row r="957" customFormat="false" ht="13.5" hidden="false" customHeight="true" outlineLevel="0" collapsed="false">
      <c r="A957" s="17" t="s">
        <v>24</v>
      </c>
      <c r="B957" s="18" t="s">
        <v>157</v>
      </c>
    </row>
    <row r="958" customFormat="false" ht="13.5" hidden="false" customHeight="true" outlineLevel="0" collapsed="false">
      <c r="A958" s="17" t="s">
        <v>450</v>
      </c>
      <c r="B958" s="4" t="s">
        <v>1222</v>
      </c>
    </row>
    <row r="959" customFormat="false" ht="13.5" hidden="false" customHeight="true" outlineLevel="0" collapsed="false">
      <c r="A959" s="17" t="s">
        <v>452</v>
      </c>
      <c r="B959" s="18" t="s">
        <v>1223</v>
      </c>
    </row>
    <row r="960" customFormat="false" ht="55.5" hidden="false" customHeight="true" outlineLevel="0" collapsed="false">
      <c r="A960" s="17" t="s">
        <v>454</v>
      </c>
      <c r="B960" s="4" t="s">
        <v>1224</v>
      </c>
    </row>
    <row r="961" customFormat="false" ht="13.5" hidden="false" customHeight="true" outlineLevel="0" collapsed="false">
      <c r="A961" s="17" t="s">
        <v>456</v>
      </c>
      <c r="B961" s="19" t="s">
        <v>457</v>
      </c>
    </row>
    <row r="962" customFormat="false" ht="13.5" hidden="false" customHeight="true" outlineLevel="0" collapsed="false">
      <c r="A962" s="17" t="s">
        <v>1225</v>
      </c>
      <c r="B962" s="4" t="s">
        <v>1226</v>
      </c>
    </row>
    <row r="963" customFormat="false" ht="13.5" hidden="false" customHeight="true" outlineLevel="0" collapsed="false">
      <c r="A963" s="17"/>
      <c r="B963" s="18" t="s">
        <v>1227</v>
      </c>
    </row>
    <row r="964" customFormat="false" ht="13.5" hidden="false" customHeight="true" outlineLevel="0" collapsed="false">
      <c r="A964" s="17"/>
      <c r="B964" s="4" t="s">
        <v>1228</v>
      </c>
    </row>
    <row r="965" customFormat="false" ht="13.5" hidden="false" customHeight="true" outlineLevel="0" collapsed="false">
      <c r="A965" s="17"/>
      <c r="B965" s="18" t="s">
        <v>1229</v>
      </c>
    </row>
    <row r="966" customFormat="false" ht="13.5" hidden="false" customHeight="true" outlineLevel="0" collapsed="false">
      <c r="A966" s="17"/>
      <c r="B966" s="4" t="s">
        <v>1230</v>
      </c>
    </row>
    <row r="967" customFormat="false" ht="13.5" hidden="false" customHeight="true" outlineLevel="0" collapsed="false">
      <c r="A967" s="17"/>
      <c r="B967" s="18" t="s">
        <v>1231</v>
      </c>
    </row>
    <row r="968" customFormat="false" ht="13.5" hidden="false" customHeight="true" outlineLevel="0" collapsed="false">
      <c r="A968" s="17"/>
      <c r="B968" s="4" t="s">
        <v>1232</v>
      </c>
    </row>
    <row r="969" customFormat="false" ht="13.5" hidden="false" customHeight="true" outlineLevel="0" collapsed="false">
      <c r="A969" s="17"/>
      <c r="B969" s="18" t="s">
        <v>1233</v>
      </c>
    </row>
    <row r="970" customFormat="false" ht="13.5" hidden="false" customHeight="true" outlineLevel="0" collapsed="false">
      <c r="A970" s="17"/>
      <c r="B970" s="4" t="s">
        <v>1234</v>
      </c>
    </row>
    <row r="973" customFormat="false" ht="15" hidden="false" customHeight="false" outlineLevel="0" collapsed="false">
      <c r="A973" s="15" t="s">
        <v>158</v>
      </c>
      <c r="B973" s="15" t="s">
        <v>1235</v>
      </c>
    </row>
    <row r="974" customFormat="false" ht="15" hidden="false" customHeight="false" outlineLevel="0" collapsed="false">
      <c r="B974" s="16" t="str">
        <f aca="false">HYPERLINK("#Label!G45","← Back to label (row 45)")</f>
        <v>← Back to label (row 45)</v>
      </c>
    </row>
    <row r="975" customFormat="false" ht="27.75" hidden="false" customHeight="true" outlineLevel="0" collapsed="false">
      <c r="A975" s="17" t="s">
        <v>24</v>
      </c>
      <c r="B975" s="18" t="s">
        <v>160</v>
      </c>
    </row>
    <row r="976" customFormat="false" ht="13.5" hidden="false" customHeight="true" outlineLevel="0" collapsed="false">
      <c r="A976" s="17" t="s">
        <v>450</v>
      </c>
      <c r="B976" s="4" t="s">
        <v>1236</v>
      </c>
    </row>
    <row r="977" customFormat="false" ht="13.5" hidden="false" customHeight="true" outlineLevel="0" collapsed="false">
      <c r="A977" s="17" t="s">
        <v>454</v>
      </c>
      <c r="B977" s="19" t="s">
        <v>486</v>
      </c>
    </row>
    <row r="978" customFormat="false" ht="13.5" hidden="false" customHeight="true" outlineLevel="0" collapsed="false">
      <c r="A978" s="17" t="s">
        <v>456</v>
      </c>
      <c r="B978" s="20" t="s">
        <v>457</v>
      </c>
    </row>
    <row r="979" customFormat="false" ht="27.75" hidden="false" customHeight="true" outlineLevel="0" collapsed="false">
      <c r="A979" s="17" t="s">
        <v>1237</v>
      </c>
      <c r="B979" s="18" t="s">
        <v>1238</v>
      </c>
    </row>
    <row r="980" customFormat="false" ht="13.5" hidden="false" customHeight="true" outlineLevel="0" collapsed="false">
      <c r="A980" s="17"/>
      <c r="B980" s="4" t="s">
        <v>1239</v>
      </c>
    </row>
    <row r="981" customFormat="false" ht="13.5" hidden="false" customHeight="true" outlineLevel="0" collapsed="false">
      <c r="A981" s="17"/>
      <c r="B981" s="18" t="s">
        <v>1240</v>
      </c>
    </row>
    <row r="982" customFormat="false" ht="13.5" hidden="false" customHeight="true" outlineLevel="0" collapsed="false">
      <c r="A982" s="17"/>
      <c r="B982" s="4" t="s">
        <v>1241</v>
      </c>
    </row>
    <row r="983" customFormat="false" ht="27.75" hidden="false" customHeight="true" outlineLevel="0" collapsed="false">
      <c r="A983" s="17"/>
      <c r="B983" s="18" t="s">
        <v>1242</v>
      </c>
    </row>
    <row r="984" customFormat="false" ht="13.5" hidden="false" customHeight="true" outlineLevel="0" collapsed="false">
      <c r="A984" s="17"/>
      <c r="B984" s="4" t="s">
        <v>1243</v>
      </c>
    </row>
    <row r="985" customFormat="false" ht="13.5" hidden="false" customHeight="true" outlineLevel="0" collapsed="false">
      <c r="A985" s="17"/>
      <c r="B985" s="18" t="s">
        <v>1244</v>
      </c>
    </row>
    <row r="986" customFormat="false" ht="13.5" hidden="false" customHeight="true" outlineLevel="0" collapsed="false">
      <c r="A986" s="17"/>
      <c r="B986" s="4" t="s">
        <v>1245</v>
      </c>
    </row>
    <row r="987" customFormat="false" ht="13.5" hidden="false" customHeight="true" outlineLevel="0" collapsed="false">
      <c r="A987" s="17"/>
      <c r="B987" s="18" t="s">
        <v>1246</v>
      </c>
    </row>
    <row r="988" customFormat="false" ht="27.75" hidden="false" customHeight="true" outlineLevel="0" collapsed="false">
      <c r="A988" s="17"/>
      <c r="B988" s="4" t="s">
        <v>1247</v>
      </c>
    </row>
    <row r="989" customFormat="false" ht="13.5" hidden="false" customHeight="true" outlineLevel="0" collapsed="false">
      <c r="A989" s="17"/>
      <c r="B989" s="18" t="s">
        <v>1248</v>
      </c>
    </row>
    <row r="990" customFormat="false" ht="13.5" hidden="false" customHeight="true" outlineLevel="0" collapsed="false">
      <c r="A990" s="17"/>
      <c r="B990" s="4" t="s">
        <v>1249</v>
      </c>
    </row>
    <row r="991" customFormat="false" ht="13.5" hidden="false" customHeight="true" outlineLevel="0" collapsed="false">
      <c r="A991" s="17"/>
      <c r="B991" s="18" t="s">
        <v>1250</v>
      </c>
    </row>
    <row r="992" customFormat="false" ht="13.5" hidden="false" customHeight="true" outlineLevel="0" collapsed="false">
      <c r="A992" s="17"/>
      <c r="B992" s="4" t="s">
        <v>1251</v>
      </c>
    </row>
    <row r="993" customFormat="false" ht="13.5" hidden="false" customHeight="true" outlineLevel="0" collapsed="false">
      <c r="A993" s="17"/>
      <c r="B993" s="18" t="s">
        <v>1252</v>
      </c>
    </row>
    <row r="994" customFormat="false" ht="13.5" hidden="false" customHeight="true" outlineLevel="0" collapsed="false">
      <c r="A994" s="17"/>
      <c r="B994" s="4" t="s">
        <v>1253</v>
      </c>
    </row>
    <row r="995" customFormat="false" ht="13.5" hidden="false" customHeight="true" outlineLevel="0" collapsed="false">
      <c r="A995" s="17"/>
      <c r="B995" s="18" t="s">
        <v>1254</v>
      </c>
    </row>
    <row r="996" customFormat="false" ht="13.5" hidden="false" customHeight="true" outlineLevel="0" collapsed="false">
      <c r="A996" s="17"/>
      <c r="B996" s="4" t="s">
        <v>1255</v>
      </c>
    </row>
    <row r="997" customFormat="false" ht="13.5" hidden="false" customHeight="true" outlineLevel="0" collapsed="false">
      <c r="A997" s="17"/>
      <c r="B997" s="18" t="s">
        <v>1256</v>
      </c>
    </row>
    <row r="998" customFormat="false" ht="13.5" hidden="false" customHeight="true" outlineLevel="0" collapsed="false">
      <c r="A998" s="17"/>
      <c r="B998" s="4" t="s">
        <v>1257</v>
      </c>
    </row>
    <row r="999" customFormat="false" ht="13.5" hidden="false" customHeight="true" outlineLevel="0" collapsed="false">
      <c r="A999" s="17"/>
      <c r="B999" s="18" t="s">
        <v>1258</v>
      </c>
    </row>
    <row r="1000" customFormat="false" ht="13.5" hidden="false" customHeight="true" outlineLevel="0" collapsed="false">
      <c r="A1000" s="17"/>
      <c r="B1000" s="4" t="s">
        <v>1259</v>
      </c>
    </row>
    <row r="1001" customFormat="false" ht="13.5" hidden="false" customHeight="true" outlineLevel="0" collapsed="false">
      <c r="A1001" s="17"/>
      <c r="B1001" s="18" t="s">
        <v>1260</v>
      </c>
    </row>
    <row r="1002" customFormat="false" ht="13.5" hidden="false" customHeight="true" outlineLevel="0" collapsed="false">
      <c r="A1002" s="17"/>
      <c r="B1002" s="4" t="s">
        <v>1261</v>
      </c>
    </row>
    <row r="1003" customFormat="false" ht="13.5" hidden="false" customHeight="true" outlineLevel="0" collapsed="false">
      <c r="A1003" s="17"/>
      <c r="B1003" s="18" t="s">
        <v>1262</v>
      </c>
    </row>
    <row r="1004" customFormat="false" ht="13.5" hidden="false" customHeight="true" outlineLevel="0" collapsed="false">
      <c r="A1004" s="17"/>
      <c r="B1004" s="4" t="s">
        <v>1263</v>
      </c>
    </row>
    <row r="1005" customFormat="false" ht="13.5" hidden="false" customHeight="true" outlineLevel="0" collapsed="false">
      <c r="A1005" s="17"/>
      <c r="B1005" s="18" t="s">
        <v>1264</v>
      </c>
    </row>
    <row r="1006" customFormat="false" ht="27.75" hidden="false" customHeight="true" outlineLevel="0" collapsed="false">
      <c r="A1006" s="17"/>
      <c r="B1006" s="4" t="s">
        <v>1265</v>
      </c>
    </row>
    <row r="1007" customFormat="false" ht="13.5" hidden="false" customHeight="true" outlineLevel="0" collapsed="false">
      <c r="A1007" s="17"/>
      <c r="B1007" s="18" t="s">
        <v>1266</v>
      </c>
    </row>
    <row r="1008" customFormat="false" ht="13.5" hidden="false" customHeight="true" outlineLevel="0" collapsed="false">
      <c r="A1008" s="17"/>
      <c r="B1008" s="4" t="s">
        <v>1267</v>
      </c>
    </row>
    <row r="1009" customFormat="false" ht="13.5" hidden="false" customHeight="true" outlineLevel="0" collapsed="false">
      <c r="A1009" s="17"/>
      <c r="B1009" s="18" t="s">
        <v>1268</v>
      </c>
    </row>
    <row r="1010" customFormat="false" ht="13.5" hidden="false" customHeight="true" outlineLevel="0" collapsed="false">
      <c r="A1010" s="17"/>
      <c r="B1010" s="4" t="s">
        <v>1269</v>
      </c>
    </row>
    <row r="1011" customFormat="false" ht="13.5" hidden="false" customHeight="true" outlineLevel="0" collapsed="false">
      <c r="A1011" s="17"/>
      <c r="B1011" s="18" t="s">
        <v>1270</v>
      </c>
    </row>
    <row r="1012" customFormat="false" ht="13.5" hidden="false" customHeight="true" outlineLevel="0" collapsed="false">
      <c r="A1012" s="17"/>
      <c r="B1012" s="4" t="s">
        <v>1271</v>
      </c>
    </row>
    <row r="1013" customFormat="false" ht="13.5" hidden="false" customHeight="true" outlineLevel="0" collapsed="false">
      <c r="A1013" s="17"/>
      <c r="B1013" s="18" t="s">
        <v>1272</v>
      </c>
    </row>
    <row r="1014" customFormat="false" ht="13.5" hidden="false" customHeight="true" outlineLevel="0" collapsed="false">
      <c r="A1014" s="17"/>
      <c r="B1014" s="4" t="s">
        <v>1273</v>
      </c>
    </row>
    <row r="1015" customFormat="false" ht="27.75" hidden="false" customHeight="true" outlineLevel="0" collapsed="false">
      <c r="A1015" s="17"/>
      <c r="B1015" s="18" t="s">
        <v>1274</v>
      </c>
    </row>
    <row r="1016" customFormat="false" ht="27.75" hidden="false" customHeight="true" outlineLevel="0" collapsed="false">
      <c r="A1016" s="17"/>
      <c r="B1016" s="4" t="s">
        <v>1275</v>
      </c>
    </row>
    <row r="1017" customFormat="false" ht="27.75" hidden="false" customHeight="true" outlineLevel="0" collapsed="false">
      <c r="A1017" s="17"/>
      <c r="B1017" s="18" t="s">
        <v>1276</v>
      </c>
    </row>
    <row r="1018" customFormat="false" ht="13.5" hidden="false" customHeight="true" outlineLevel="0" collapsed="false">
      <c r="A1018" s="17"/>
      <c r="B1018" s="4" t="s">
        <v>1277</v>
      </c>
    </row>
    <row r="1019" customFormat="false" ht="13.5" hidden="false" customHeight="true" outlineLevel="0" collapsed="false">
      <c r="A1019" s="17"/>
      <c r="B1019" s="18" t="s">
        <v>1278</v>
      </c>
    </row>
    <row r="1020" customFormat="false" ht="13.5" hidden="false" customHeight="true" outlineLevel="0" collapsed="false">
      <c r="A1020" s="17"/>
      <c r="B1020" s="4" t="s">
        <v>1279</v>
      </c>
    </row>
    <row r="1021" customFormat="false" ht="27.75" hidden="false" customHeight="true" outlineLevel="0" collapsed="false">
      <c r="A1021" s="17"/>
      <c r="B1021" s="18" t="s">
        <v>1280</v>
      </c>
    </row>
    <row r="1022" customFormat="false" ht="13.5" hidden="false" customHeight="true" outlineLevel="0" collapsed="false">
      <c r="A1022" s="17"/>
      <c r="B1022" s="4" t="s">
        <v>1281</v>
      </c>
    </row>
    <row r="1023" customFormat="false" ht="13.5" hidden="false" customHeight="true" outlineLevel="0" collapsed="false">
      <c r="A1023" s="17"/>
      <c r="B1023" s="18" t="s">
        <v>1282</v>
      </c>
    </row>
    <row r="1024" customFormat="false" ht="13.5" hidden="false" customHeight="true" outlineLevel="0" collapsed="false">
      <c r="A1024" s="17"/>
      <c r="B1024" s="4" t="s">
        <v>1283</v>
      </c>
    </row>
    <row r="1025" customFormat="false" ht="13.5" hidden="false" customHeight="true" outlineLevel="0" collapsed="false">
      <c r="A1025" s="17"/>
      <c r="B1025" s="18" t="s">
        <v>1284</v>
      </c>
    </row>
    <row r="1026" customFormat="false" ht="27.75" hidden="false" customHeight="true" outlineLevel="0" collapsed="false">
      <c r="A1026" s="17"/>
      <c r="B1026" s="4" t="s">
        <v>1285</v>
      </c>
    </row>
    <row r="1027" customFormat="false" ht="13.5" hidden="false" customHeight="true" outlineLevel="0" collapsed="false">
      <c r="A1027" s="17"/>
      <c r="B1027" s="18" t="s">
        <v>1286</v>
      </c>
    </row>
    <row r="1028" customFormat="false" ht="13.5" hidden="false" customHeight="true" outlineLevel="0" collapsed="false">
      <c r="A1028" s="17"/>
      <c r="B1028" s="4" t="s">
        <v>1287</v>
      </c>
    </row>
    <row r="1029" customFormat="false" ht="13.5" hidden="false" customHeight="true" outlineLevel="0" collapsed="false">
      <c r="A1029" s="17"/>
      <c r="B1029" s="18" t="s">
        <v>1288</v>
      </c>
    </row>
    <row r="1030" customFormat="false" ht="13.5" hidden="false" customHeight="true" outlineLevel="0" collapsed="false">
      <c r="A1030" s="17"/>
      <c r="B1030" s="4" t="s">
        <v>1289</v>
      </c>
    </row>
    <row r="1031" customFormat="false" ht="13.5" hidden="false" customHeight="true" outlineLevel="0" collapsed="false">
      <c r="A1031" s="17"/>
      <c r="B1031" s="18" t="s">
        <v>1290</v>
      </c>
    </row>
    <row r="1032" customFormat="false" ht="13.5" hidden="false" customHeight="true" outlineLevel="0" collapsed="false">
      <c r="A1032" s="17"/>
      <c r="B1032" s="4" t="s">
        <v>1291</v>
      </c>
    </row>
    <row r="1033" customFormat="false" ht="13.5" hidden="false" customHeight="true" outlineLevel="0" collapsed="false">
      <c r="A1033" s="17"/>
      <c r="B1033" s="18" t="s">
        <v>1292</v>
      </c>
    </row>
    <row r="1034" customFormat="false" ht="13.5" hidden="false" customHeight="true" outlineLevel="0" collapsed="false">
      <c r="A1034" s="17"/>
      <c r="B1034" s="4" t="s">
        <v>1293</v>
      </c>
    </row>
    <row r="1035" customFormat="false" ht="13.5" hidden="false" customHeight="true" outlineLevel="0" collapsed="false">
      <c r="A1035" s="17"/>
      <c r="B1035" s="18" t="s">
        <v>1294</v>
      </c>
    </row>
    <row r="1036" customFormat="false" ht="13.5" hidden="false" customHeight="true" outlineLevel="0" collapsed="false">
      <c r="A1036" s="17"/>
      <c r="B1036" s="4" t="s">
        <v>1295</v>
      </c>
    </row>
    <row r="1037" customFormat="false" ht="13.5" hidden="false" customHeight="true" outlineLevel="0" collapsed="false">
      <c r="A1037" s="17"/>
      <c r="B1037" s="18" t="s">
        <v>1296</v>
      </c>
    </row>
    <row r="1038" customFormat="false" ht="13.5" hidden="false" customHeight="true" outlineLevel="0" collapsed="false">
      <c r="A1038" s="17"/>
      <c r="B1038" s="4" t="s">
        <v>1297</v>
      </c>
    </row>
    <row r="1039" customFormat="false" ht="13.5" hidden="false" customHeight="true" outlineLevel="0" collapsed="false">
      <c r="A1039" s="17"/>
      <c r="B1039" s="19" t="s">
        <v>1298</v>
      </c>
    </row>
    <row r="1042" customFormat="false" ht="15" hidden="false" customHeight="false" outlineLevel="0" collapsed="false">
      <c r="A1042" s="15" t="s">
        <v>162</v>
      </c>
      <c r="B1042" s="15" t="s">
        <v>1299</v>
      </c>
    </row>
    <row r="1043" customFormat="false" ht="15" hidden="false" customHeight="false" outlineLevel="0" collapsed="false">
      <c r="B1043" s="16" t="str">
        <f aca="false">HYPERLINK("#Label!G46","← Back to label (row 46)")</f>
        <v>← Back to label (row 46)</v>
      </c>
    </row>
    <row r="1044" customFormat="false" ht="13.5" hidden="false" customHeight="true" outlineLevel="0" collapsed="false">
      <c r="A1044" s="17" t="s">
        <v>24</v>
      </c>
      <c r="B1044" s="18" t="s">
        <v>59</v>
      </c>
    </row>
    <row r="1045" customFormat="false" ht="13.5" hidden="false" customHeight="true" outlineLevel="0" collapsed="false">
      <c r="A1045" s="17" t="s">
        <v>450</v>
      </c>
      <c r="B1045" s="4" t="s">
        <v>1300</v>
      </c>
    </row>
    <row r="1046" customFormat="false" ht="13.5" hidden="false" customHeight="true" outlineLevel="0" collapsed="false">
      <c r="A1046" s="17" t="s">
        <v>454</v>
      </c>
      <c r="B1046" s="19" t="s">
        <v>486</v>
      </c>
    </row>
    <row r="1047" customFormat="false" ht="13.5" hidden="false" customHeight="true" outlineLevel="0" collapsed="false">
      <c r="A1047" s="17" t="s">
        <v>456</v>
      </c>
      <c r="B1047" s="20" t="s">
        <v>457</v>
      </c>
    </row>
    <row r="1048" customFormat="false" ht="13.5" hidden="false" customHeight="true" outlineLevel="0" collapsed="false">
      <c r="A1048" s="17" t="s">
        <v>519</v>
      </c>
      <c r="B1048" s="18" t="s">
        <v>1301</v>
      </c>
    </row>
    <row r="1051" customFormat="false" ht="15" hidden="false" customHeight="false" outlineLevel="0" collapsed="false">
      <c r="A1051" s="15" t="s">
        <v>164</v>
      </c>
      <c r="B1051" s="15" t="s">
        <v>165</v>
      </c>
    </row>
    <row r="1052" customFormat="false" ht="15" hidden="false" customHeight="false" outlineLevel="0" collapsed="false">
      <c r="B1052" s="16" t="str">
        <f aca="false">HYPERLINK("#Label!G47","← Back to label (row 47)")</f>
        <v>← Back to label (row 47)</v>
      </c>
    </row>
    <row r="1053" customFormat="false" ht="13.5" hidden="false" customHeight="true" outlineLevel="0" collapsed="false">
      <c r="A1053" s="17" t="s">
        <v>24</v>
      </c>
      <c r="B1053" s="18" t="s">
        <v>157</v>
      </c>
    </row>
    <row r="1054" customFormat="false" ht="13.5" hidden="false" customHeight="true" outlineLevel="0" collapsed="false">
      <c r="A1054" s="17" t="s">
        <v>450</v>
      </c>
      <c r="B1054" s="4" t="s">
        <v>1302</v>
      </c>
    </row>
    <row r="1055" customFormat="false" ht="13.5" hidden="false" customHeight="true" outlineLevel="0" collapsed="false">
      <c r="A1055" s="17" t="s">
        <v>452</v>
      </c>
      <c r="B1055" s="18" t="s">
        <v>1303</v>
      </c>
    </row>
    <row r="1056" customFormat="false" ht="42" hidden="false" customHeight="true" outlineLevel="0" collapsed="false">
      <c r="A1056" s="17" t="s">
        <v>454</v>
      </c>
      <c r="B1056" s="4" t="s">
        <v>1304</v>
      </c>
    </row>
    <row r="1057" customFormat="false" ht="13.5" hidden="false" customHeight="true" outlineLevel="0" collapsed="false">
      <c r="A1057" s="17" t="s">
        <v>456</v>
      </c>
      <c r="B1057" s="19" t="s">
        <v>457</v>
      </c>
    </row>
    <row r="1058" customFormat="false" ht="13.5" hidden="false" customHeight="true" outlineLevel="0" collapsed="false">
      <c r="A1058" s="17" t="s">
        <v>508</v>
      </c>
      <c r="B1058" s="20" t="s">
        <v>509</v>
      </c>
    </row>
    <row r="1061" customFormat="false" ht="15" hidden="false" customHeight="false" outlineLevel="0" collapsed="false">
      <c r="A1061" s="15" t="s">
        <v>166</v>
      </c>
      <c r="B1061" s="15" t="s">
        <v>1305</v>
      </c>
    </row>
    <row r="1062" customFormat="false" ht="15" hidden="false" customHeight="false" outlineLevel="0" collapsed="false">
      <c r="B1062" s="16" t="str">
        <f aca="false">HYPERLINK("#Label!G48","← Back to label (row 48)")</f>
        <v>← Back to label (row 48)</v>
      </c>
    </row>
    <row r="1063" customFormat="false" ht="42" hidden="false" customHeight="true" outlineLevel="0" collapsed="false">
      <c r="A1063" s="17" t="s">
        <v>24</v>
      </c>
      <c r="B1063" s="18" t="s">
        <v>168</v>
      </c>
    </row>
    <row r="1064" customFormat="false" ht="13.5" hidden="false" customHeight="true" outlineLevel="0" collapsed="false">
      <c r="A1064" s="17" t="s">
        <v>450</v>
      </c>
      <c r="B1064" s="4" t="s">
        <v>1306</v>
      </c>
    </row>
    <row r="1065" customFormat="false" ht="13.5" hidden="false" customHeight="true" outlineLevel="0" collapsed="false">
      <c r="A1065" s="17" t="s">
        <v>452</v>
      </c>
      <c r="B1065" s="18" t="s">
        <v>1307</v>
      </c>
    </row>
    <row r="1066" customFormat="false" ht="84" hidden="false" customHeight="true" outlineLevel="0" collapsed="false">
      <c r="A1066" s="17" t="s">
        <v>454</v>
      </c>
      <c r="B1066" s="4" t="s">
        <v>1308</v>
      </c>
    </row>
    <row r="1067" customFormat="false" ht="13.5" hidden="false" customHeight="true" outlineLevel="0" collapsed="false">
      <c r="A1067" s="17" t="s">
        <v>456</v>
      </c>
      <c r="B1067" s="18" t="s">
        <v>1309</v>
      </c>
    </row>
    <row r="1068" customFormat="false" ht="13.5" hidden="false" customHeight="true" outlineLevel="0" collapsed="false">
      <c r="A1068" s="17" t="s">
        <v>487</v>
      </c>
      <c r="B1068" s="4" t="s">
        <v>1310</v>
      </c>
    </row>
    <row r="1069" customFormat="false" ht="13.5" hidden="false" customHeight="true" outlineLevel="0" collapsed="false">
      <c r="A1069" s="17"/>
      <c r="B1069" s="18" t="s">
        <v>1311</v>
      </c>
    </row>
    <row r="1070" customFormat="false" ht="13.5" hidden="false" customHeight="true" outlineLevel="0" collapsed="false">
      <c r="A1070" s="17"/>
      <c r="B1070" s="4" t="s">
        <v>1312</v>
      </c>
    </row>
    <row r="1071" customFormat="false" ht="13.5" hidden="false" customHeight="true" outlineLevel="0" collapsed="false">
      <c r="A1071" s="17"/>
      <c r="B1071" s="18" t="s">
        <v>1313</v>
      </c>
    </row>
    <row r="1072" customFormat="false" ht="13.5" hidden="false" customHeight="true" outlineLevel="0" collapsed="false">
      <c r="A1072" s="17"/>
      <c r="B1072" s="4" t="s">
        <v>1314</v>
      </c>
    </row>
    <row r="1073" customFormat="false" ht="13.5" hidden="false" customHeight="true" outlineLevel="0" collapsed="false">
      <c r="A1073" s="17"/>
      <c r="B1073" s="18" t="s">
        <v>1315</v>
      </c>
    </row>
    <row r="1074" customFormat="false" ht="13.5" hidden="false" customHeight="true" outlineLevel="0" collapsed="false">
      <c r="A1074" s="17"/>
      <c r="B1074" s="4" t="s">
        <v>1316</v>
      </c>
    </row>
    <row r="1075" customFormat="false" ht="13.5" hidden="false" customHeight="true" outlineLevel="0" collapsed="false">
      <c r="A1075" s="17"/>
      <c r="B1075" s="18" t="s">
        <v>1317</v>
      </c>
    </row>
    <row r="1076" customFormat="false" ht="13.5" hidden="false" customHeight="true" outlineLevel="0" collapsed="false">
      <c r="A1076" s="17"/>
      <c r="B1076" s="4" t="s">
        <v>1318</v>
      </c>
    </row>
    <row r="1077" customFormat="false" ht="13.5" hidden="false" customHeight="true" outlineLevel="0" collapsed="false">
      <c r="A1077" s="17"/>
      <c r="B1077" s="18" t="s">
        <v>1319</v>
      </c>
    </row>
    <row r="1080" customFormat="false" ht="15" hidden="false" customHeight="false" outlineLevel="0" collapsed="false">
      <c r="A1080" s="15" t="s">
        <v>170</v>
      </c>
      <c r="B1080" s="15" t="s">
        <v>1320</v>
      </c>
    </row>
    <row r="1081" customFormat="false" ht="15" hidden="false" customHeight="false" outlineLevel="0" collapsed="false">
      <c r="B1081" s="16" t="str">
        <f aca="false">HYPERLINK("#Label!G49","← Back to label (row 49)")</f>
        <v>← Back to label (row 49)</v>
      </c>
    </row>
    <row r="1082" customFormat="false" ht="13.5" hidden="false" customHeight="true" outlineLevel="0" collapsed="false">
      <c r="A1082" s="17" t="s">
        <v>24</v>
      </c>
      <c r="B1082" s="18" t="s">
        <v>172</v>
      </c>
    </row>
    <row r="1083" customFormat="false" ht="13.5" hidden="false" customHeight="true" outlineLevel="0" collapsed="false">
      <c r="A1083" s="17" t="s">
        <v>450</v>
      </c>
      <c r="B1083" s="4" t="s">
        <v>1321</v>
      </c>
    </row>
    <row r="1084" customFormat="false" ht="13.5" hidden="false" customHeight="true" outlineLevel="0" collapsed="false">
      <c r="A1084" s="17" t="s">
        <v>454</v>
      </c>
      <c r="B1084" s="19" t="s">
        <v>486</v>
      </c>
    </row>
    <row r="1085" customFormat="false" ht="13.5" hidden="false" customHeight="true" outlineLevel="0" collapsed="false">
      <c r="A1085" s="17" t="s">
        <v>456</v>
      </c>
      <c r="B1085" s="20" t="s">
        <v>457</v>
      </c>
    </row>
    <row r="1086" customFormat="false" ht="13.5" hidden="false" customHeight="true" outlineLevel="0" collapsed="false">
      <c r="A1086" s="17" t="s">
        <v>525</v>
      </c>
      <c r="B1086" s="18" t="s">
        <v>1322</v>
      </c>
    </row>
    <row r="1087" customFormat="false" ht="13.5" hidden="false" customHeight="true" outlineLevel="0" collapsed="false">
      <c r="A1087" s="17"/>
      <c r="B1087" s="4" t="s">
        <v>1323</v>
      </c>
    </row>
    <row r="1088" customFormat="false" ht="13.5" hidden="false" customHeight="true" outlineLevel="0" collapsed="false">
      <c r="A1088" s="17"/>
      <c r="B1088" s="18" t="s">
        <v>1324</v>
      </c>
    </row>
    <row r="1089" customFormat="false" ht="13.5" hidden="false" customHeight="true" outlineLevel="0" collapsed="false">
      <c r="A1089" s="17"/>
      <c r="B1089" s="4" t="s">
        <v>1325</v>
      </c>
    </row>
    <row r="1090" customFormat="false" ht="13.5" hidden="false" customHeight="true" outlineLevel="0" collapsed="false">
      <c r="A1090" s="17"/>
      <c r="B1090" s="18" t="s">
        <v>1326</v>
      </c>
    </row>
    <row r="1091" customFormat="false" ht="13.5" hidden="false" customHeight="true" outlineLevel="0" collapsed="false">
      <c r="A1091" s="17"/>
      <c r="B1091" s="4" t="s">
        <v>1327</v>
      </c>
    </row>
    <row r="1092" customFormat="false" ht="13.5" hidden="false" customHeight="true" outlineLevel="0" collapsed="false">
      <c r="A1092" s="17"/>
      <c r="B1092" s="18" t="s">
        <v>1328</v>
      </c>
    </row>
    <row r="1093" customFormat="false" ht="13.5" hidden="false" customHeight="true" outlineLevel="0" collapsed="false">
      <c r="A1093" s="17"/>
      <c r="B1093" s="4" t="s">
        <v>1329</v>
      </c>
    </row>
    <row r="1094" customFormat="false" ht="13.5" hidden="false" customHeight="true" outlineLevel="0" collapsed="false">
      <c r="A1094" s="17"/>
      <c r="B1094" s="18" t="s">
        <v>1330</v>
      </c>
    </row>
    <row r="1095" customFormat="false" ht="13.5" hidden="false" customHeight="true" outlineLevel="0" collapsed="false">
      <c r="A1095" s="17"/>
      <c r="B1095" s="4" t="s">
        <v>1331</v>
      </c>
    </row>
    <row r="1096" customFormat="false" ht="13.5" hidden="false" customHeight="true" outlineLevel="0" collapsed="false">
      <c r="A1096" s="17"/>
      <c r="B1096" s="18" t="s">
        <v>1332</v>
      </c>
    </row>
    <row r="1097" customFormat="false" ht="13.5" hidden="false" customHeight="true" outlineLevel="0" collapsed="false">
      <c r="A1097" s="17"/>
      <c r="B1097" s="4" t="s">
        <v>1333</v>
      </c>
    </row>
    <row r="1098" customFormat="false" ht="13.5" hidden="false" customHeight="true" outlineLevel="0" collapsed="false">
      <c r="A1098" s="17"/>
      <c r="B1098" s="18" t="s">
        <v>1334</v>
      </c>
    </row>
    <row r="1099" customFormat="false" ht="13.5" hidden="false" customHeight="true" outlineLevel="0" collapsed="false">
      <c r="A1099" s="17"/>
      <c r="B1099" s="4" t="s">
        <v>1335</v>
      </c>
    </row>
    <row r="1100" customFormat="false" ht="13.5" hidden="false" customHeight="true" outlineLevel="0" collapsed="false">
      <c r="A1100" s="17"/>
      <c r="B1100" s="18" t="s">
        <v>1336</v>
      </c>
    </row>
    <row r="1101" customFormat="false" ht="13.5" hidden="false" customHeight="true" outlineLevel="0" collapsed="false">
      <c r="A1101" s="17"/>
      <c r="B1101" s="4" t="s">
        <v>1337</v>
      </c>
    </row>
    <row r="1102" customFormat="false" ht="13.5" hidden="false" customHeight="true" outlineLevel="0" collapsed="false">
      <c r="A1102" s="17"/>
      <c r="B1102" s="18" t="s">
        <v>1338</v>
      </c>
    </row>
    <row r="1103" customFormat="false" ht="13.5" hidden="false" customHeight="true" outlineLevel="0" collapsed="false">
      <c r="A1103" s="17"/>
      <c r="B1103" s="4" t="s">
        <v>1339</v>
      </c>
    </row>
    <row r="1104" customFormat="false" ht="13.5" hidden="false" customHeight="true" outlineLevel="0" collapsed="false">
      <c r="A1104" s="17"/>
      <c r="B1104" s="18" t="s">
        <v>1340</v>
      </c>
    </row>
    <row r="1105" customFormat="false" ht="13.5" hidden="false" customHeight="true" outlineLevel="0" collapsed="false">
      <c r="A1105" s="17"/>
      <c r="B1105" s="4" t="s">
        <v>1341</v>
      </c>
    </row>
    <row r="1106" customFormat="false" ht="13.5" hidden="false" customHeight="true" outlineLevel="0" collapsed="false">
      <c r="A1106" s="17"/>
      <c r="B1106" s="18" t="s">
        <v>1342</v>
      </c>
    </row>
    <row r="1107" customFormat="false" ht="13.5" hidden="false" customHeight="true" outlineLevel="0" collapsed="false">
      <c r="A1107" s="17"/>
      <c r="B1107" s="4" t="s">
        <v>1343</v>
      </c>
    </row>
    <row r="1108" customFormat="false" ht="13.5" hidden="false" customHeight="true" outlineLevel="0" collapsed="false">
      <c r="A1108" s="17"/>
      <c r="B1108" s="18" t="s">
        <v>1344</v>
      </c>
    </row>
    <row r="1109" customFormat="false" ht="13.5" hidden="false" customHeight="true" outlineLevel="0" collapsed="false">
      <c r="A1109" s="17"/>
      <c r="B1109" s="4" t="s">
        <v>1345</v>
      </c>
    </row>
    <row r="1110" customFormat="false" ht="13.5" hidden="false" customHeight="true" outlineLevel="0" collapsed="false">
      <c r="A1110" s="17"/>
      <c r="B1110" s="18" t="s">
        <v>1346</v>
      </c>
    </row>
    <row r="1111" customFormat="false" ht="13.5" hidden="false" customHeight="true" outlineLevel="0" collapsed="false">
      <c r="A1111" s="17"/>
      <c r="B1111" s="4" t="s">
        <v>1347</v>
      </c>
    </row>
    <row r="1112" customFormat="false" ht="13.5" hidden="false" customHeight="true" outlineLevel="0" collapsed="false">
      <c r="A1112" s="17"/>
      <c r="B1112" s="18" t="s">
        <v>1348</v>
      </c>
    </row>
    <row r="1113" customFormat="false" ht="13.5" hidden="false" customHeight="true" outlineLevel="0" collapsed="false">
      <c r="A1113" s="17"/>
      <c r="B1113" s="4" t="s">
        <v>1349</v>
      </c>
    </row>
    <row r="1114" customFormat="false" ht="13.5" hidden="false" customHeight="true" outlineLevel="0" collapsed="false">
      <c r="A1114" s="17"/>
      <c r="B1114" s="18" t="s">
        <v>1350</v>
      </c>
    </row>
    <row r="1115" customFormat="false" ht="27.75" hidden="false" customHeight="true" outlineLevel="0" collapsed="false">
      <c r="A1115" s="17"/>
      <c r="B1115" s="4" t="s">
        <v>1351</v>
      </c>
    </row>
    <row r="1116" customFormat="false" ht="13.5" hidden="false" customHeight="true" outlineLevel="0" collapsed="false">
      <c r="A1116" s="17"/>
      <c r="B1116" s="18" t="s">
        <v>1352</v>
      </c>
    </row>
    <row r="1117" customFormat="false" ht="13.5" hidden="false" customHeight="true" outlineLevel="0" collapsed="false">
      <c r="A1117" s="17"/>
      <c r="B1117" s="4" t="s">
        <v>1353</v>
      </c>
    </row>
    <row r="1118" customFormat="false" ht="13.5" hidden="false" customHeight="true" outlineLevel="0" collapsed="false">
      <c r="A1118" s="17"/>
      <c r="B1118" s="18" t="s">
        <v>1354</v>
      </c>
    </row>
    <row r="1119" customFormat="false" ht="13.5" hidden="false" customHeight="true" outlineLevel="0" collapsed="false">
      <c r="A1119" s="17"/>
      <c r="B1119" s="4" t="s">
        <v>1355</v>
      </c>
    </row>
    <row r="1122" customFormat="false" ht="15" hidden="false" customHeight="false" outlineLevel="0" collapsed="false">
      <c r="A1122" s="15" t="s">
        <v>174</v>
      </c>
      <c r="B1122" s="15" t="s">
        <v>1356</v>
      </c>
    </row>
    <row r="1123" customFormat="false" ht="15" hidden="false" customHeight="false" outlineLevel="0" collapsed="false">
      <c r="B1123" s="16" t="str">
        <f aca="false">HYPERLINK("#Label!G50","← Back to label (row 50)")</f>
        <v>← Back to label (row 50)</v>
      </c>
    </row>
    <row r="1124" customFormat="false" ht="13.5" hidden="false" customHeight="true" outlineLevel="0" collapsed="false">
      <c r="A1124" s="17" t="s">
        <v>24</v>
      </c>
      <c r="B1124" s="18" t="s">
        <v>176</v>
      </c>
    </row>
    <row r="1125" customFormat="false" ht="13.5" hidden="false" customHeight="true" outlineLevel="0" collapsed="false">
      <c r="A1125" s="17" t="s">
        <v>450</v>
      </c>
      <c r="B1125" s="4" t="s">
        <v>1357</v>
      </c>
    </row>
    <row r="1126" customFormat="false" ht="13.5" hidden="false" customHeight="true" outlineLevel="0" collapsed="false">
      <c r="A1126" s="17" t="s">
        <v>452</v>
      </c>
      <c r="B1126" s="18" t="s">
        <v>1358</v>
      </c>
    </row>
    <row r="1127" customFormat="false" ht="55.5" hidden="false" customHeight="true" outlineLevel="0" collapsed="false">
      <c r="A1127" s="17" t="s">
        <v>454</v>
      </c>
      <c r="B1127" s="4" t="s">
        <v>1359</v>
      </c>
    </row>
    <row r="1128" customFormat="false" ht="13.5" hidden="false" customHeight="true" outlineLevel="0" collapsed="false">
      <c r="A1128" s="17" t="s">
        <v>456</v>
      </c>
      <c r="B1128" s="19" t="s">
        <v>457</v>
      </c>
    </row>
    <row r="1129" customFormat="false" ht="13.5" hidden="false" customHeight="true" outlineLevel="0" collapsed="false">
      <c r="A1129" s="17" t="s">
        <v>729</v>
      </c>
      <c r="B1129" s="4" t="s">
        <v>1360</v>
      </c>
    </row>
    <row r="1130" customFormat="false" ht="13.5" hidden="false" customHeight="true" outlineLevel="0" collapsed="false">
      <c r="A1130" s="17"/>
      <c r="B1130" s="18" t="s">
        <v>1361</v>
      </c>
    </row>
    <row r="1131" customFormat="false" ht="13.5" hidden="false" customHeight="true" outlineLevel="0" collapsed="false">
      <c r="A1131" s="17"/>
      <c r="B1131" s="4" t="s">
        <v>1362</v>
      </c>
    </row>
    <row r="1132" customFormat="false" ht="13.5" hidden="false" customHeight="true" outlineLevel="0" collapsed="false">
      <c r="A1132" s="17"/>
      <c r="B1132" s="18" t="s">
        <v>1363</v>
      </c>
    </row>
    <row r="1133" customFormat="false" ht="13.5" hidden="false" customHeight="true" outlineLevel="0" collapsed="false">
      <c r="A1133" s="17"/>
      <c r="B1133" s="4" t="s">
        <v>1364</v>
      </c>
    </row>
    <row r="1134" customFormat="false" ht="13.5" hidden="false" customHeight="true" outlineLevel="0" collapsed="false">
      <c r="A1134" s="17"/>
      <c r="B1134" s="18" t="s">
        <v>1365</v>
      </c>
    </row>
    <row r="1135" customFormat="false" ht="13.5" hidden="false" customHeight="true" outlineLevel="0" collapsed="false">
      <c r="A1135" s="17"/>
      <c r="B1135" s="4" t="s">
        <v>1366</v>
      </c>
    </row>
    <row r="1136" customFormat="false" ht="13.5" hidden="false" customHeight="true" outlineLevel="0" collapsed="false">
      <c r="A1136" s="17"/>
      <c r="B1136" s="18" t="s">
        <v>1367</v>
      </c>
    </row>
    <row r="1137" customFormat="false" ht="13.5" hidden="false" customHeight="true" outlineLevel="0" collapsed="false">
      <c r="A1137" s="17"/>
      <c r="B1137" s="4" t="s">
        <v>1368</v>
      </c>
    </row>
    <row r="1138" customFormat="false" ht="13.5" hidden="false" customHeight="true" outlineLevel="0" collapsed="false">
      <c r="A1138" s="17"/>
      <c r="B1138" s="18" t="s">
        <v>1369</v>
      </c>
    </row>
    <row r="1139" customFormat="false" ht="13.5" hidden="false" customHeight="true" outlineLevel="0" collapsed="false">
      <c r="A1139" s="17"/>
      <c r="B1139" s="4" t="s">
        <v>1370</v>
      </c>
    </row>
    <row r="1142" customFormat="false" ht="15" hidden="false" customHeight="false" outlineLevel="0" collapsed="false">
      <c r="A1142" s="15" t="s">
        <v>177</v>
      </c>
      <c r="B1142" s="15" t="s">
        <v>1371</v>
      </c>
    </row>
    <row r="1143" customFormat="false" ht="15" hidden="false" customHeight="false" outlineLevel="0" collapsed="false">
      <c r="B1143" s="16" t="str">
        <f aca="false">HYPERLINK("#Label!G51","← Back to label (row 51)")</f>
        <v>← Back to label (row 51)</v>
      </c>
    </row>
    <row r="1144" customFormat="false" ht="27.75" hidden="false" customHeight="true" outlineLevel="0" collapsed="false">
      <c r="A1144" s="17" t="s">
        <v>24</v>
      </c>
      <c r="B1144" s="18" t="s">
        <v>179</v>
      </c>
    </row>
    <row r="1145" customFormat="false" ht="13.5" hidden="false" customHeight="true" outlineLevel="0" collapsed="false">
      <c r="A1145" s="17" t="s">
        <v>450</v>
      </c>
      <c r="B1145" s="4" t="s">
        <v>1372</v>
      </c>
    </row>
    <row r="1146" customFormat="false" ht="13.5" hidden="false" customHeight="true" outlineLevel="0" collapsed="false">
      <c r="A1146" s="17" t="s">
        <v>452</v>
      </c>
      <c r="B1146" s="18" t="s">
        <v>1373</v>
      </c>
    </row>
    <row r="1147" customFormat="false" ht="126" hidden="false" customHeight="true" outlineLevel="0" collapsed="false">
      <c r="A1147" s="17" t="s">
        <v>454</v>
      </c>
      <c r="B1147" s="4" t="s">
        <v>1374</v>
      </c>
    </row>
    <row r="1148" customFormat="false" ht="13.5" hidden="false" customHeight="true" outlineLevel="0" collapsed="false">
      <c r="A1148" s="17" t="s">
        <v>456</v>
      </c>
      <c r="B1148" s="18" t="s">
        <v>1375</v>
      </c>
    </row>
    <row r="1149" customFormat="false" ht="13.5" hidden="false" customHeight="true" outlineLevel="0" collapsed="false">
      <c r="A1149" s="17" t="s">
        <v>1376</v>
      </c>
      <c r="B1149" s="4" t="s">
        <v>1377</v>
      </c>
    </row>
    <row r="1150" customFormat="false" ht="13.5" hidden="false" customHeight="true" outlineLevel="0" collapsed="false">
      <c r="A1150" s="17"/>
      <c r="B1150" s="18" t="s">
        <v>1378</v>
      </c>
    </row>
    <row r="1151" customFormat="false" ht="27.75" hidden="false" customHeight="true" outlineLevel="0" collapsed="false">
      <c r="A1151" s="17"/>
      <c r="B1151" s="4" t="s">
        <v>1379</v>
      </c>
    </row>
    <row r="1152" customFormat="false" ht="13.5" hidden="false" customHeight="true" outlineLevel="0" collapsed="false">
      <c r="A1152" s="17"/>
      <c r="B1152" s="18" t="s">
        <v>1380</v>
      </c>
    </row>
    <row r="1153" customFormat="false" ht="27.75" hidden="false" customHeight="true" outlineLevel="0" collapsed="false">
      <c r="A1153" s="17"/>
      <c r="B1153" s="4" t="s">
        <v>1381</v>
      </c>
    </row>
    <row r="1156" customFormat="false" ht="15" hidden="false" customHeight="false" outlineLevel="0" collapsed="false">
      <c r="A1156" s="15" t="s">
        <v>180</v>
      </c>
      <c r="B1156" s="15" t="s">
        <v>1382</v>
      </c>
    </row>
    <row r="1157" customFormat="false" ht="15" hidden="false" customHeight="false" outlineLevel="0" collapsed="false">
      <c r="B1157" s="16" t="str">
        <f aca="false">HYPERLINK("#Label!G52","← Back to label (row 52)")</f>
        <v>← Back to label (row 52)</v>
      </c>
    </row>
    <row r="1158" customFormat="false" ht="13.5" hidden="false" customHeight="true" outlineLevel="0" collapsed="false">
      <c r="A1158" s="17" t="s">
        <v>24</v>
      </c>
      <c r="B1158" s="18" t="s">
        <v>123</v>
      </c>
    </row>
    <row r="1159" customFormat="false" ht="13.5" hidden="false" customHeight="true" outlineLevel="0" collapsed="false">
      <c r="A1159" s="17" t="s">
        <v>450</v>
      </c>
      <c r="B1159" s="4" t="s">
        <v>1383</v>
      </c>
    </row>
    <row r="1160" customFormat="false" ht="13.5" hidden="false" customHeight="true" outlineLevel="0" collapsed="false">
      <c r="A1160" s="17" t="s">
        <v>454</v>
      </c>
      <c r="B1160" s="19" t="s">
        <v>486</v>
      </c>
    </row>
    <row r="1161" customFormat="false" ht="13.5" hidden="false" customHeight="true" outlineLevel="0" collapsed="false">
      <c r="A1161" s="17" t="s">
        <v>456</v>
      </c>
      <c r="B1161" s="20" t="s">
        <v>457</v>
      </c>
    </row>
    <row r="1162" customFormat="false" ht="13.5" hidden="false" customHeight="true" outlineLevel="0" collapsed="false">
      <c r="A1162" s="17" t="s">
        <v>1376</v>
      </c>
      <c r="B1162" s="18" t="s">
        <v>1384</v>
      </c>
    </row>
    <row r="1163" customFormat="false" ht="13.5" hidden="false" customHeight="true" outlineLevel="0" collapsed="false">
      <c r="A1163" s="17"/>
      <c r="B1163" s="4" t="s">
        <v>1385</v>
      </c>
    </row>
    <row r="1164" customFormat="false" ht="13.5" hidden="false" customHeight="true" outlineLevel="0" collapsed="false">
      <c r="A1164" s="17"/>
      <c r="B1164" s="18" t="s">
        <v>1386</v>
      </c>
    </row>
    <row r="1165" customFormat="false" ht="13.5" hidden="false" customHeight="true" outlineLevel="0" collapsed="false">
      <c r="A1165" s="17"/>
      <c r="B1165" s="4" t="s">
        <v>1387</v>
      </c>
    </row>
    <row r="1166" customFormat="false" ht="27.75" hidden="false" customHeight="true" outlineLevel="0" collapsed="false">
      <c r="A1166" s="17"/>
      <c r="B1166" s="18" t="s">
        <v>1388</v>
      </c>
    </row>
    <row r="1169" customFormat="false" ht="15" hidden="false" customHeight="false" outlineLevel="0" collapsed="false">
      <c r="A1169" s="15" t="s">
        <v>182</v>
      </c>
      <c r="B1169" s="15" t="s">
        <v>1389</v>
      </c>
    </row>
    <row r="1170" customFormat="false" ht="15" hidden="false" customHeight="false" outlineLevel="0" collapsed="false">
      <c r="B1170" s="16" t="str">
        <f aca="false">HYPERLINK("#Label!G53","← Back to label (row 53)")</f>
        <v>← Back to label (row 53)</v>
      </c>
    </row>
    <row r="1171" customFormat="false" ht="13.5" hidden="false" customHeight="true" outlineLevel="0" collapsed="false">
      <c r="A1171" s="17" t="s">
        <v>24</v>
      </c>
      <c r="B1171" s="18" t="s">
        <v>75</v>
      </c>
    </row>
    <row r="1172" customFormat="false" ht="13.5" hidden="false" customHeight="true" outlineLevel="0" collapsed="false">
      <c r="A1172" s="17" t="s">
        <v>450</v>
      </c>
      <c r="B1172" s="4" t="s">
        <v>1390</v>
      </c>
    </row>
    <row r="1173" customFormat="false" ht="13.5" hidden="false" customHeight="true" outlineLevel="0" collapsed="false">
      <c r="A1173" s="17" t="s">
        <v>452</v>
      </c>
      <c r="B1173" s="18" t="s">
        <v>1391</v>
      </c>
    </row>
    <row r="1174" customFormat="false" ht="111.75" hidden="false" customHeight="true" outlineLevel="0" collapsed="false">
      <c r="A1174" s="17" t="s">
        <v>454</v>
      </c>
      <c r="B1174" s="4" t="s">
        <v>1392</v>
      </c>
    </row>
    <row r="1175" customFormat="false" ht="13.5" hidden="false" customHeight="true" outlineLevel="0" collapsed="false">
      <c r="A1175" s="17" t="s">
        <v>456</v>
      </c>
      <c r="B1175" s="18" t="s">
        <v>1393</v>
      </c>
    </row>
    <row r="1176" customFormat="false" ht="13.5" hidden="false" customHeight="true" outlineLevel="0" collapsed="false">
      <c r="A1176" s="17" t="s">
        <v>519</v>
      </c>
      <c r="B1176" s="4" t="s">
        <v>1394</v>
      </c>
    </row>
    <row r="1179" customFormat="false" ht="15" hidden="false" customHeight="false" outlineLevel="0" collapsed="false">
      <c r="A1179" s="15" t="s">
        <v>184</v>
      </c>
      <c r="B1179" s="15" t="s">
        <v>1395</v>
      </c>
    </row>
    <row r="1180" customFormat="false" ht="15" hidden="false" customHeight="false" outlineLevel="0" collapsed="false">
      <c r="B1180" s="16" t="str">
        <f aca="false">HYPERLINK("#Label!G54","← Back to label (row 54)")</f>
        <v>← Back to label (row 54)</v>
      </c>
    </row>
    <row r="1181" customFormat="false" ht="13.5" hidden="false" customHeight="true" outlineLevel="0" collapsed="false">
      <c r="A1181" s="17" t="s">
        <v>24</v>
      </c>
      <c r="B1181" s="18" t="s">
        <v>123</v>
      </c>
    </row>
    <row r="1182" customFormat="false" ht="13.5" hidden="false" customHeight="true" outlineLevel="0" collapsed="false">
      <c r="A1182" s="17" t="s">
        <v>450</v>
      </c>
      <c r="B1182" s="4" t="s">
        <v>1396</v>
      </c>
    </row>
    <row r="1183" customFormat="false" ht="13.5" hidden="false" customHeight="true" outlineLevel="0" collapsed="false">
      <c r="A1183" s="17" t="s">
        <v>452</v>
      </c>
      <c r="B1183" s="18" t="s">
        <v>1397</v>
      </c>
    </row>
    <row r="1184" customFormat="false" ht="42" hidden="false" customHeight="true" outlineLevel="0" collapsed="false">
      <c r="A1184" s="17" t="s">
        <v>454</v>
      </c>
      <c r="B1184" s="4" t="s">
        <v>1398</v>
      </c>
    </row>
    <row r="1185" customFormat="false" ht="13.5" hidden="false" customHeight="true" outlineLevel="0" collapsed="false">
      <c r="A1185" s="17" t="s">
        <v>456</v>
      </c>
      <c r="B1185" s="19" t="s">
        <v>457</v>
      </c>
    </row>
    <row r="1186" customFormat="false" ht="13.5" hidden="false" customHeight="true" outlineLevel="0" collapsed="false">
      <c r="A1186" s="17" t="s">
        <v>508</v>
      </c>
      <c r="B1186" s="20" t="s">
        <v>509</v>
      </c>
    </row>
    <row r="1189" customFormat="false" ht="15" hidden="false" customHeight="false" outlineLevel="0" collapsed="false">
      <c r="A1189" s="15" t="s">
        <v>186</v>
      </c>
      <c r="B1189" s="15" t="s">
        <v>1399</v>
      </c>
    </row>
    <row r="1190" customFormat="false" ht="15" hidden="false" customHeight="false" outlineLevel="0" collapsed="false">
      <c r="B1190" s="16" t="str">
        <f aca="false">HYPERLINK("#Label!G55","← Back to label (row 55)")</f>
        <v>← Back to label (row 55)</v>
      </c>
    </row>
    <row r="1191" customFormat="false" ht="69.75" hidden="false" customHeight="true" outlineLevel="0" collapsed="false">
      <c r="A1191" s="17" t="s">
        <v>24</v>
      </c>
      <c r="B1191" s="18" t="s">
        <v>1400</v>
      </c>
    </row>
    <row r="1192" customFormat="false" ht="13.5" hidden="false" customHeight="true" outlineLevel="0" collapsed="false">
      <c r="A1192" s="17" t="s">
        <v>450</v>
      </c>
      <c r="B1192" s="4" t="s">
        <v>1401</v>
      </c>
    </row>
    <row r="1193" customFormat="false" ht="13.5" hidden="false" customHeight="true" outlineLevel="0" collapsed="false">
      <c r="A1193" s="17" t="s">
        <v>452</v>
      </c>
      <c r="B1193" s="18" t="s">
        <v>1402</v>
      </c>
    </row>
    <row r="1194" customFormat="false" ht="13.5" hidden="false" customHeight="true" outlineLevel="0" collapsed="false">
      <c r="A1194" s="17" t="s">
        <v>454</v>
      </c>
      <c r="B1194" s="20" t="s">
        <v>486</v>
      </c>
    </row>
    <row r="1195" customFormat="false" ht="13.5" hidden="false" customHeight="true" outlineLevel="0" collapsed="false">
      <c r="A1195" s="17" t="s">
        <v>456</v>
      </c>
      <c r="B1195" s="18" t="s">
        <v>1403</v>
      </c>
    </row>
    <row r="1196" customFormat="false" ht="27.75" hidden="false" customHeight="true" outlineLevel="0" collapsed="false">
      <c r="A1196" s="17" t="s">
        <v>1237</v>
      </c>
      <c r="B1196" s="4" t="s">
        <v>1404</v>
      </c>
    </row>
    <row r="1197" customFormat="false" ht="13.5" hidden="false" customHeight="true" outlineLevel="0" collapsed="false">
      <c r="A1197" s="17"/>
      <c r="B1197" s="18" t="s">
        <v>1405</v>
      </c>
    </row>
    <row r="1198" customFormat="false" ht="13.5" hidden="false" customHeight="true" outlineLevel="0" collapsed="false">
      <c r="A1198" s="17"/>
      <c r="B1198" s="4" t="s">
        <v>1406</v>
      </c>
    </row>
    <row r="1199" customFormat="false" ht="13.5" hidden="false" customHeight="true" outlineLevel="0" collapsed="false">
      <c r="A1199" s="17"/>
      <c r="B1199" s="18" t="s">
        <v>1407</v>
      </c>
    </row>
    <row r="1200" customFormat="false" ht="27.75" hidden="false" customHeight="true" outlineLevel="0" collapsed="false">
      <c r="A1200" s="17"/>
      <c r="B1200" s="4" t="s">
        <v>1408</v>
      </c>
    </row>
    <row r="1201" customFormat="false" ht="13.5" hidden="false" customHeight="true" outlineLevel="0" collapsed="false">
      <c r="A1201" s="17"/>
      <c r="B1201" s="18" t="s">
        <v>1409</v>
      </c>
    </row>
    <row r="1202" customFormat="false" ht="13.5" hidden="false" customHeight="true" outlineLevel="0" collapsed="false">
      <c r="A1202" s="17"/>
      <c r="B1202" s="4" t="s">
        <v>1410</v>
      </c>
    </row>
    <row r="1203" customFormat="false" ht="27.75" hidden="false" customHeight="true" outlineLevel="0" collapsed="false">
      <c r="A1203" s="17"/>
      <c r="B1203" s="18" t="s">
        <v>1411</v>
      </c>
    </row>
    <row r="1204" customFormat="false" ht="27.75" hidden="false" customHeight="true" outlineLevel="0" collapsed="false">
      <c r="A1204" s="17"/>
      <c r="B1204" s="4" t="s">
        <v>1412</v>
      </c>
    </row>
    <row r="1205" customFormat="false" ht="13.5" hidden="false" customHeight="true" outlineLevel="0" collapsed="false">
      <c r="A1205" s="17"/>
      <c r="B1205" s="18" t="s">
        <v>1413</v>
      </c>
    </row>
    <row r="1206" customFormat="false" ht="13.5" hidden="false" customHeight="true" outlineLevel="0" collapsed="false">
      <c r="A1206" s="17"/>
      <c r="B1206" s="4" t="s">
        <v>1414</v>
      </c>
    </row>
    <row r="1207" customFormat="false" ht="13.5" hidden="false" customHeight="true" outlineLevel="0" collapsed="false">
      <c r="A1207" s="17"/>
      <c r="B1207" s="18" t="s">
        <v>1415</v>
      </c>
    </row>
    <row r="1208" customFormat="false" ht="13.5" hidden="false" customHeight="true" outlineLevel="0" collapsed="false">
      <c r="A1208" s="17"/>
      <c r="B1208" s="4" t="s">
        <v>1416</v>
      </c>
    </row>
    <row r="1209" customFormat="false" ht="13.5" hidden="false" customHeight="true" outlineLevel="0" collapsed="false">
      <c r="A1209" s="17"/>
      <c r="B1209" s="18" t="s">
        <v>1417</v>
      </c>
    </row>
    <row r="1210" customFormat="false" ht="27.75" hidden="false" customHeight="true" outlineLevel="0" collapsed="false">
      <c r="A1210" s="17"/>
      <c r="B1210" s="4" t="s">
        <v>1418</v>
      </c>
    </row>
    <row r="1211" customFormat="false" ht="13.5" hidden="false" customHeight="true" outlineLevel="0" collapsed="false">
      <c r="A1211" s="17"/>
      <c r="B1211" s="18" t="s">
        <v>1419</v>
      </c>
    </row>
    <row r="1212" customFormat="false" ht="13.5" hidden="false" customHeight="true" outlineLevel="0" collapsed="false">
      <c r="A1212" s="17"/>
      <c r="B1212" s="4" t="s">
        <v>1420</v>
      </c>
    </row>
    <row r="1213" customFormat="false" ht="13.5" hidden="false" customHeight="true" outlineLevel="0" collapsed="false">
      <c r="A1213" s="17"/>
      <c r="B1213" s="18" t="s">
        <v>1421</v>
      </c>
    </row>
    <row r="1214" customFormat="false" ht="13.5" hidden="false" customHeight="true" outlineLevel="0" collapsed="false">
      <c r="A1214" s="17"/>
      <c r="B1214" s="4" t="s">
        <v>1422</v>
      </c>
    </row>
    <row r="1215" customFormat="false" ht="13.5" hidden="false" customHeight="true" outlineLevel="0" collapsed="false">
      <c r="A1215" s="17"/>
      <c r="B1215" s="18" t="s">
        <v>1423</v>
      </c>
    </row>
    <row r="1216" customFormat="false" ht="27.75" hidden="false" customHeight="true" outlineLevel="0" collapsed="false">
      <c r="A1216" s="17"/>
      <c r="B1216" s="4" t="s">
        <v>1424</v>
      </c>
    </row>
    <row r="1217" customFormat="false" ht="27.75" hidden="false" customHeight="true" outlineLevel="0" collapsed="false">
      <c r="A1217" s="17"/>
      <c r="B1217" s="18" t="s">
        <v>1425</v>
      </c>
    </row>
    <row r="1218" customFormat="false" ht="13.5" hidden="false" customHeight="true" outlineLevel="0" collapsed="false">
      <c r="A1218" s="17"/>
      <c r="B1218" s="4" t="s">
        <v>1426</v>
      </c>
    </row>
    <row r="1219" customFormat="false" ht="13.5" hidden="false" customHeight="true" outlineLevel="0" collapsed="false">
      <c r="A1219" s="17"/>
      <c r="B1219" s="18" t="s">
        <v>1427</v>
      </c>
    </row>
    <row r="1220" customFormat="false" ht="13.5" hidden="false" customHeight="true" outlineLevel="0" collapsed="false">
      <c r="A1220" s="17"/>
      <c r="B1220" s="4" t="s">
        <v>1428</v>
      </c>
    </row>
    <row r="1221" customFormat="false" ht="13.5" hidden="false" customHeight="true" outlineLevel="0" collapsed="false">
      <c r="A1221" s="17"/>
      <c r="B1221" s="18" t="s">
        <v>1429</v>
      </c>
    </row>
    <row r="1222" customFormat="false" ht="13.5" hidden="false" customHeight="true" outlineLevel="0" collapsed="false">
      <c r="A1222" s="17"/>
      <c r="B1222" s="4" t="s">
        <v>1430</v>
      </c>
    </row>
    <row r="1223" customFormat="false" ht="13.5" hidden="false" customHeight="true" outlineLevel="0" collapsed="false">
      <c r="A1223" s="17"/>
      <c r="B1223" s="18" t="s">
        <v>1431</v>
      </c>
    </row>
    <row r="1224" customFormat="false" ht="13.5" hidden="false" customHeight="true" outlineLevel="0" collapsed="false">
      <c r="A1224" s="17"/>
      <c r="B1224" s="4" t="s">
        <v>1432</v>
      </c>
    </row>
    <row r="1225" customFormat="false" ht="13.5" hidden="false" customHeight="true" outlineLevel="0" collapsed="false">
      <c r="A1225" s="17"/>
      <c r="B1225" s="18" t="s">
        <v>1433</v>
      </c>
    </row>
    <row r="1226" customFormat="false" ht="13.5" hidden="false" customHeight="true" outlineLevel="0" collapsed="false">
      <c r="A1226" s="17"/>
      <c r="B1226" s="4" t="s">
        <v>1434</v>
      </c>
    </row>
    <row r="1227" customFormat="false" ht="27.75" hidden="false" customHeight="true" outlineLevel="0" collapsed="false">
      <c r="A1227" s="17"/>
      <c r="B1227" s="18" t="s">
        <v>1435</v>
      </c>
    </row>
    <row r="1228" customFormat="false" ht="13.5" hidden="false" customHeight="true" outlineLevel="0" collapsed="false">
      <c r="A1228" s="17"/>
      <c r="B1228" s="4" t="s">
        <v>1436</v>
      </c>
    </row>
    <row r="1229" customFormat="false" ht="13.5" hidden="false" customHeight="true" outlineLevel="0" collapsed="false">
      <c r="A1229" s="17"/>
      <c r="B1229" s="18" t="s">
        <v>1437</v>
      </c>
    </row>
    <row r="1230" customFormat="false" ht="13.5" hidden="false" customHeight="true" outlineLevel="0" collapsed="false">
      <c r="A1230" s="17"/>
      <c r="B1230" s="4" t="s">
        <v>1438</v>
      </c>
    </row>
    <row r="1231" customFormat="false" ht="27.75" hidden="false" customHeight="true" outlineLevel="0" collapsed="false">
      <c r="A1231" s="17"/>
      <c r="B1231" s="18" t="s">
        <v>1439</v>
      </c>
    </row>
    <row r="1232" customFormat="false" ht="27.75" hidden="false" customHeight="true" outlineLevel="0" collapsed="false">
      <c r="A1232" s="17"/>
      <c r="B1232" s="4" t="s">
        <v>1440</v>
      </c>
    </row>
    <row r="1233" customFormat="false" ht="13.5" hidden="false" customHeight="true" outlineLevel="0" collapsed="false">
      <c r="A1233" s="17"/>
      <c r="B1233" s="18" t="s">
        <v>1441</v>
      </c>
    </row>
    <row r="1234" customFormat="false" ht="13.5" hidden="false" customHeight="true" outlineLevel="0" collapsed="false">
      <c r="A1234" s="17"/>
      <c r="B1234" s="4" t="s">
        <v>1442</v>
      </c>
    </row>
    <row r="1235" customFormat="false" ht="27.75" hidden="false" customHeight="true" outlineLevel="0" collapsed="false">
      <c r="A1235" s="17"/>
      <c r="B1235" s="18" t="s">
        <v>1443</v>
      </c>
    </row>
    <row r="1236" customFormat="false" ht="27.75" hidden="false" customHeight="true" outlineLevel="0" collapsed="false">
      <c r="A1236" s="17"/>
      <c r="B1236" s="4" t="s">
        <v>1444</v>
      </c>
    </row>
    <row r="1237" customFormat="false" ht="13.5" hidden="false" customHeight="true" outlineLevel="0" collapsed="false">
      <c r="A1237" s="17"/>
      <c r="B1237" s="18" t="s">
        <v>1445</v>
      </c>
    </row>
    <row r="1238" customFormat="false" ht="13.5" hidden="false" customHeight="true" outlineLevel="0" collapsed="false">
      <c r="A1238" s="17"/>
      <c r="B1238" s="4" t="s">
        <v>1446</v>
      </c>
    </row>
    <row r="1239" customFormat="false" ht="13.5" hidden="false" customHeight="true" outlineLevel="0" collapsed="false">
      <c r="A1239" s="17"/>
      <c r="B1239" s="18" t="s">
        <v>1447</v>
      </c>
    </row>
    <row r="1240" customFormat="false" ht="27.75" hidden="false" customHeight="true" outlineLevel="0" collapsed="false">
      <c r="A1240" s="17"/>
      <c r="B1240" s="4" t="s">
        <v>1448</v>
      </c>
    </row>
    <row r="1241" customFormat="false" ht="13.5" hidden="false" customHeight="true" outlineLevel="0" collapsed="false">
      <c r="A1241" s="17"/>
      <c r="B1241" s="18" t="s">
        <v>1449</v>
      </c>
    </row>
    <row r="1242" customFormat="false" ht="13.5" hidden="false" customHeight="true" outlineLevel="0" collapsed="false">
      <c r="A1242" s="17"/>
      <c r="B1242" s="4" t="s">
        <v>1450</v>
      </c>
    </row>
    <row r="1243" customFormat="false" ht="13.5" hidden="false" customHeight="true" outlineLevel="0" collapsed="false">
      <c r="A1243" s="17"/>
      <c r="B1243" s="18" t="s">
        <v>1451</v>
      </c>
    </row>
    <row r="1244" customFormat="false" ht="13.5" hidden="false" customHeight="true" outlineLevel="0" collapsed="false">
      <c r="A1244" s="17"/>
      <c r="B1244" s="4" t="s">
        <v>1452</v>
      </c>
    </row>
    <row r="1245" customFormat="false" ht="13.5" hidden="false" customHeight="true" outlineLevel="0" collapsed="false">
      <c r="A1245" s="17"/>
      <c r="B1245" s="18" t="s">
        <v>1453</v>
      </c>
    </row>
    <row r="1246" customFormat="false" ht="13.5" hidden="false" customHeight="true" outlineLevel="0" collapsed="false">
      <c r="A1246" s="17"/>
      <c r="B1246" s="4" t="s">
        <v>1454</v>
      </c>
    </row>
    <row r="1247" customFormat="false" ht="13.5" hidden="false" customHeight="true" outlineLevel="0" collapsed="false">
      <c r="A1247" s="17"/>
      <c r="B1247" s="18" t="s">
        <v>1455</v>
      </c>
    </row>
    <row r="1248" customFormat="false" ht="27.75" hidden="false" customHeight="true" outlineLevel="0" collapsed="false">
      <c r="A1248" s="17"/>
      <c r="B1248" s="4" t="s">
        <v>1456</v>
      </c>
    </row>
    <row r="1249" customFormat="false" ht="13.5" hidden="false" customHeight="true" outlineLevel="0" collapsed="false">
      <c r="A1249" s="17"/>
      <c r="B1249" s="18" t="s">
        <v>1457</v>
      </c>
    </row>
    <row r="1250" customFormat="false" ht="13.5" hidden="false" customHeight="true" outlineLevel="0" collapsed="false">
      <c r="A1250" s="17"/>
      <c r="B1250" s="4" t="s">
        <v>1458</v>
      </c>
    </row>
    <row r="1251" customFormat="false" ht="13.5" hidden="false" customHeight="true" outlineLevel="0" collapsed="false">
      <c r="A1251" s="17"/>
      <c r="B1251" s="18" t="s">
        <v>1459</v>
      </c>
    </row>
    <row r="1252" customFormat="false" ht="13.5" hidden="false" customHeight="true" outlineLevel="0" collapsed="false">
      <c r="A1252" s="17"/>
      <c r="B1252" s="4" t="s">
        <v>1460</v>
      </c>
    </row>
    <row r="1253" customFormat="false" ht="13.5" hidden="false" customHeight="true" outlineLevel="0" collapsed="false">
      <c r="A1253" s="17"/>
      <c r="B1253" s="18" t="s">
        <v>1461</v>
      </c>
    </row>
    <row r="1254" customFormat="false" ht="27.75" hidden="false" customHeight="true" outlineLevel="0" collapsed="false">
      <c r="A1254" s="17"/>
      <c r="B1254" s="4" t="s">
        <v>1462</v>
      </c>
    </row>
    <row r="1255" customFormat="false" ht="13.5" hidden="false" customHeight="true" outlineLevel="0" collapsed="false">
      <c r="A1255" s="17"/>
      <c r="B1255" s="18" t="s">
        <v>1463</v>
      </c>
    </row>
    <row r="1256" customFormat="false" ht="13.5" hidden="false" customHeight="true" outlineLevel="0" collapsed="false">
      <c r="A1256" s="17"/>
      <c r="B1256" s="20" t="s">
        <v>1298</v>
      </c>
    </row>
    <row r="1259" customFormat="false" ht="15" hidden="false" customHeight="false" outlineLevel="0" collapsed="false">
      <c r="A1259" s="15" t="s">
        <v>189</v>
      </c>
      <c r="B1259" s="15" t="s">
        <v>1464</v>
      </c>
    </row>
    <row r="1260" customFormat="false" ht="15" hidden="false" customHeight="false" outlineLevel="0" collapsed="false">
      <c r="B1260" s="16" t="str">
        <f aca="false">HYPERLINK("#Label!G56","← Back to label (row 56)")</f>
        <v>← Back to label (row 56)</v>
      </c>
    </row>
    <row r="1261" customFormat="false" ht="13.5" hidden="false" customHeight="true" outlineLevel="0" collapsed="false">
      <c r="A1261" s="17" t="s">
        <v>24</v>
      </c>
      <c r="B1261" s="18" t="s">
        <v>49</v>
      </c>
    </row>
    <row r="1262" customFormat="false" ht="13.5" hidden="false" customHeight="true" outlineLevel="0" collapsed="false">
      <c r="A1262" s="17" t="s">
        <v>450</v>
      </c>
      <c r="B1262" s="4" t="s">
        <v>1465</v>
      </c>
    </row>
    <row r="1263" customFormat="false" ht="13.5" hidden="false" customHeight="true" outlineLevel="0" collapsed="false">
      <c r="A1263" s="17" t="s">
        <v>454</v>
      </c>
      <c r="B1263" s="19" t="s">
        <v>486</v>
      </c>
    </row>
    <row r="1264" customFormat="false" ht="13.5" hidden="false" customHeight="true" outlineLevel="0" collapsed="false">
      <c r="A1264" s="17" t="s">
        <v>456</v>
      </c>
      <c r="B1264" s="20" t="s">
        <v>457</v>
      </c>
    </row>
    <row r="1265" customFormat="false" ht="13.5" hidden="false" customHeight="true" outlineLevel="0" collapsed="false">
      <c r="A1265" s="17" t="s">
        <v>1089</v>
      </c>
      <c r="B1265" s="18" t="s">
        <v>1466</v>
      </c>
    </row>
    <row r="1266" customFormat="false" ht="13.5" hidden="false" customHeight="true" outlineLevel="0" collapsed="false">
      <c r="A1266" s="17"/>
      <c r="B1266" s="4" t="s">
        <v>1467</v>
      </c>
    </row>
    <row r="1267" customFormat="false" ht="13.5" hidden="false" customHeight="true" outlineLevel="0" collapsed="false">
      <c r="A1267" s="17"/>
      <c r="B1267" s="18" t="s">
        <v>1468</v>
      </c>
    </row>
    <row r="1268" customFormat="false" ht="13.5" hidden="false" customHeight="true" outlineLevel="0" collapsed="false">
      <c r="A1268" s="17"/>
      <c r="B1268" s="4" t="s">
        <v>1469</v>
      </c>
    </row>
    <row r="1269" customFormat="false" ht="13.5" hidden="false" customHeight="true" outlineLevel="0" collapsed="false">
      <c r="A1269" s="17"/>
      <c r="B1269" s="18" t="s">
        <v>1470</v>
      </c>
    </row>
    <row r="1270" customFormat="false" ht="13.5" hidden="false" customHeight="true" outlineLevel="0" collapsed="false">
      <c r="A1270" s="17"/>
      <c r="B1270" s="4" t="s">
        <v>1471</v>
      </c>
    </row>
    <row r="1271" customFormat="false" ht="13.5" hidden="false" customHeight="true" outlineLevel="0" collapsed="false">
      <c r="A1271" s="17"/>
      <c r="B1271" s="18" t="s">
        <v>1472</v>
      </c>
    </row>
    <row r="1274" customFormat="false" ht="15" hidden="false" customHeight="false" outlineLevel="0" collapsed="false">
      <c r="A1274" s="15" t="s">
        <v>191</v>
      </c>
      <c r="B1274" s="15" t="s">
        <v>1473</v>
      </c>
    </row>
    <row r="1275" customFormat="false" ht="15" hidden="false" customHeight="false" outlineLevel="0" collapsed="false">
      <c r="B1275" s="16" t="str">
        <f aca="false">HYPERLINK("#Label!G57","← Back to label (row 57)")</f>
        <v>← Back to label (row 57)</v>
      </c>
    </row>
    <row r="1276" customFormat="false" ht="13.5" hidden="false" customHeight="true" outlineLevel="0" collapsed="false">
      <c r="A1276" s="17" t="s">
        <v>24</v>
      </c>
      <c r="B1276" s="18" t="s">
        <v>45</v>
      </c>
    </row>
    <row r="1277" customFormat="false" ht="13.5" hidden="false" customHeight="true" outlineLevel="0" collapsed="false">
      <c r="A1277" s="17" t="s">
        <v>450</v>
      </c>
      <c r="B1277" s="4" t="s">
        <v>1474</v>
      </c>
    </row>
    <row r="1278" customFormat="false" ht="13.5" hidden="false" customHeight="true" outlineLevel="0" collapsed="false">
      <c r="A1278" s="17" t="s">
        <v>452</v>
      </c>
      <c r="B1278" s="18" t="s">
        <v>1475</v>
      </c>
    </row>
    <row r="1279" customFormat="false" ht="13.5" hidden="false" customHeight="true" outlineLevel="0" collapsed="false">
      <c r="A1279" s="17" t="s">
        <v>454</v>
      </c>
      <c r="B1279" s="20" t="s">
        <v>486</v>
      </c>
    </row>
    <row r="1280" customFormat="false" ht="13.5" hidden="false" customHeight="true" outlineLevel="0" collapsed="false">
      <c r="A1280" s="17" t="s">
        <v>456</v>
      </c>
      <c r="B1280" s="19" t="s">
        <v>457</v>
      </c>
    </row>
    <row r="1281" customFormat="false" ht="13.5" hidden="false" customHeight="true" outlineLevel="0" collapsed="false">
      <c r="A1281" s="17" t="s">
        <v>458</v>
      </c>
      <c r="B1281" s="4" t="s">
        <v>1476</v>
      </c>
    </row>
    <row r="1282" customFormat="false" ht="13.5" hidden="false" customHeight="true" outlineLevel="0" collapsed="false">
      <c r="A1282" s="17"/>
      <c r="B1282" s="18" t="s">
        <v>1477</v>
      </c>
    </row>
    <row r="1283" customFormat="false" ht="13.5" hidden="false" customHeight="true" outlineLevel="0" collapsed="false">
      <c r="A1283" s="17"/>
      <c r="B1283" s="4" t="s">
        <v>1478</v>
      </c>
    </row>
    <row r="1284" customFormat="false" ht="13.5" hidden="false" customHeight="true" outlineLevel="0" collapsed="false">
      <c r="A1284" s="17"/>
      <c r="B1284" s="18" t="s">
        <v>1479</v>
      </c>
    </row>
    <row r="1285" customFormat="false" ht="13.5" hidden="false" customHeight="true" outlineLevel="0" collapsed="false">
      <c r="A1285" s="17"/>
      <c r="B1285" s="4" t="s">
        <v>1480</v>
      </c>
    </row>
    <row r="1286" customFormat="false" ht="13.5" hidden="false" customHeight="true" outlineLevel="0" collapsed="false">
      <c r="A1286" s="17"/>
      <c r="B1286" s="18" t="s">
        <v>1481</v>
      </c>
    </row>
    <row r="1287" customFormat="false" ht="13.5" hidden="false" customHeight="true" outlineLevel="0" collapsed="false">
      <c r="A1287" s="17"/>
      <c r="B1287" s="4" t="s">
        <v>1482</v>
      </c>
    </row>
    <row r="1288" customFormat="false" ht="27.75" hidden="false" customHeight="true" outlineLevel="0" collapsed="false">
      <c r="A1288" s="17"/>
      <c r="B1288" s="18" t="s">
        <v>1483</v>
      </c>
    </row>
    <row r="1289" customFormat="false" ht="13.5" hidden="false" customHeight="true" outlineLevel="0" collapsed="false">
      <c r="A1289" s="17"/>
      <c r="B1289" s="4" t="s">
        <v>1484</v>
      </c>
    </row>
    <row r="1290" customFormat="false" ht="13.5" hidden="false" customHeight="true" outlineLevel="0" collapsed="false">
      <c r="A1290" s="17"/>
      <c r="B1290" s="18" t="s">
        <v>1485</v>
      </c>
    </row>
    <row r="1291" customFormat="false" ht="27.75" hidden="false" customHeight="true" outlineLevel="0" collapsed="false">
      <c r="A1291" s="17"/>
      <c r="B1291" s="4" t="s">
        <v>1486</v>
      </c>
    </row>
    <row r="1292" customFormat="false" ht="13.5" hidden="false" customHeight="true" outlineLevel="0" collapsed="false">
      <c r="A1292" s="17"/>
      <c r="B1292" s="18" t="s">
        <v>1487</v>
      </c>
    </row>
    <row r="1293" customFormat="false" ht="13.5" hidden="false" customHeight="true" outlineLevel="0" collapsed="false">
      <c r="A1293" s="17"/>
      <c r="B1293" s="4" t="s">
        <v>1488</v>
      </c>
    </row>
    <row r="1294" customFormat="false" ht="13.5" hidden="false" customHeight="true" outlineLevel="0" collapsed="false">
      <c r="A1294" s="17"/>
      <c r="B1294" s="18" t="s">
        <v>1489</v>
      </c>
    </row>
    <row r="1295" customFormat="false" ht="13.5" hidden="false" customHeight="true" outlineLevel="0" collapsed="false">
      <c r="A1295" s="17"/>
      <c r="B1295" s="4" t="s">
        <v>1490</v>
      </c>
    </row>
    <row r="1296" customFormat="false" ht="13.5" hidden="false" customHeight="true" outlineLevel="0" collapsed="false">
      <c r="A1296" s="17"/>
      <c r="B1296" s="18" t="s">
        <v>1491</v>
      </c>
    </row>
    <row r="1297" customFormat="false" ht="13.5" hidden="false" customHeight="true" outlineLevel="0" collapsed="false">
      <c r="A1297" s="17"/>
      <c r="B1297" s="4" t="s">
        <v>1492</v>
      </c>
    </row>
    <row r="1298" customFormat="false" ht="13.5" hidden="false" customHeight="true" outlineLevel="0" collapsed="false">
      <c r="A1298" s="17"/>
      <c r="B1298" s="18" t="s">
        <v>1493</v>
      </c>
    </row>
    <row r="1299" customFormat="false" ht="13.5" hidden="false" customHeight="true" outlineLevel="0" collapsed="false">
      <c r="A1299" s="17"/>
      <c r="B1299" s="4" t="s">
        <v>1494</v>
      </c>
    </row>
    <row r="1300" customFormat="false" ht="13.5" hidden="false" customHeight="true" outlineLevel="0" collapsed="false">
      <c r="A1300" s="17"/>
      <c r="B1300" s="18" t="s">
        <v>1495</v>
      </c>
    </row>
    <row r="1301" customFormat="false" ht="13.5" hidden="false" customHeight="true" outlineLevel="0" collapsed="false">
      <c r="A1301" s="17"/>
      <c r="B1301" s="4" t="s">
        <v>1496</v>
      </c>
    </row>
    <row r="1302" customFormat="false" ht="27.75" hidden="false" customHeight="true" outlineLevel="0" collapsed="false">
      <c r="A1302" s="17"/>
      <c r="B1302" s="18" t="s">
        <v>1497</v>
      </c>
    </row>
    <row r="1303" customFormat="false" ht="27.75" hidden="false" customHeight="true" outlineLevel="0" collapsed="false">
      <c r="A1303" s="17"/>
      <c r="B1303" s="4" t="s">
        <v>1498</v>
      </c>
    </row>
    <row r="1304" customFormat="false" ht="13.5" hidden="false" customHeight="true" outlineLevel="0" collapsed="false">
      <c r="A1304" s="17"/>
      <c r="B1304" s="18" t="s">
        <v>1499</v>
      </c>
    </row>
    <row r="1305" customFormat="false" ht="13.5" hidden="false" customHeight="true" outlineLevel="0" collapsed="false">
      <c r="A1305" s="17"/>
      <c r="B1305" s="4" t="s">
        <v>1500</v>
      </c>
    </row>
    <row r="1308" customFormat="false" ht="15" hidden="false" customHeight="false" outlineLevel="0" collapsed="false">
      <c r="A1308" s="15" t="s">
        <v>193</v>
      </c>
      <c r="B1308" s="15" t="s">
        <v>1501</v>
      </c>
    </row>
    <row r="1309" customFormat="false" ht="15" hidden="false" customHeight="false" outlineLevel="0" collapsed="false">
      <c r="B1309" s="16" t="str">
        <f aca="false">HYPERLINK("#Label!G58","← Back to label (row 58)")</f>
        <v>← Back to label (row 58)</v>
      </c>
    </row>
    <row r="1310" customFormat="false" ht="13.5" hidden="false" customHeight="true" outlineLevel="0" collapsed="false">
      <c r="A1310" s="17" t="s">
        <v>24</v>
      </c>
      <c r="B1310" s="18" t="s">
        <v>98</v>
      </c>
    </row>
    <row r="1311" customFormat="false" ht="13.5" hidden="false" customHeight="true" outlineLevel="0" collapsed="false">
      <c r="A1311" s="17" t="s">
        <v>450</v>
      </c>
      <c r="B1311" s="4" t="s">
        <v>1502</v>
      </c>
    </row>
    <row r="1312" customFormat="false" ht="13.5" hidden="false" customHeight="true" outlineLevel="0" collapsed="false">
      <c r="A1312" s="17" t="s">
        <v>454</v>
      </c>
      <c r="B1312" s="19" t="s">
        <v>486</v>
      </c>
    </row>
    <row r="1313" customFormat="false" ht="13.5" hidden="false" customHeight="true" outlineLevel="0" collapsed="false">
      <c r="A1313" s="17" t="s">
        <v>456</v>
      </c>
      <c r="B1313" s="20" t="s">
        <v>457</v>
      </c>
    </row>
    <row r="1314" customFormat="false" ht="13.5" hidden="false" customHeight="true" outlineLevel="0" collapsed="false">
      <c r="A1314" s="17" t="s">
        <v>500</v>
      </c>
      <c r="B1314" s="18" t="s">
        <v>1503</v>
      </c>
    </row>
    <row r="1315" customFormat="false" ht="13.5" hidden="false" customHeight="true" outlineLevel="0" collapsed="false">
      <c r="A1315" s="17"/>
      <c r="B1315" s="4" t="s">
        <v>1504</v>
      </c>
    </row>
    <row r="1316" customFormat="false" ht="13.5" hidden="false" customHeight="true" outlineLevel="0" collapsed="false">
      <c r="A1316" s="17"/>
      <c r="B1316" s="18" t="s">
        <v>1505</v>
      </c>
    </row>
    <row r="1319" customFormat="false" ht="15" hidden="false" customHeight="false" outlineLevel="0" collapsed="false">
      <c r="A1319" s="15" t="s">
        <v>195</v>
      </c>
      <c r="B1319" s="15" t="s">
        <v>1506</v>
      </c>
    </row>
    <row r="1320" customFormat="false" ht="15" hidden="false" customHeight="false" outlineLevel="0" collapsed="false">
      <c r="B1320" s="16" t="str">
        <f aca="false">HYPERLINK("#Label!G59","← Back to label (row 59)")</f>
        <v>← Back to label (row 59)</v>
      </c>
    </row>
    <row r="1321" customFormat="false" ht="13.5" hidden="false" customHeight="true" outlineLevel="0" collapsed="false">
      <c r="A1321" s="17" t="s">
        <v>24</v>
      </c>
      <c r="B1321" s="18" t="s">
        <v>53</v>
      </c>
    </row>
    <row r="1322" customFormat="false" ht="13.5" hidden="false" customHeight="true" outlineLevel="0" collapsed="false">
      <c r="A1322" s="17" t="s">
        <v>450</v>
      </c>
      <c r="B1322" s="4" t="s">
        <v>1507</v>
      </c>
    </row>
    <row r="1323" customFormat="false" ht="13.5" hidden="false" customHeight="true" outlineLevel="0" collapsed="false">
      <c r="A1323" s="17" t="s">
        <v>452</v>
      </c>
      <c r="B1323" s="18" t="s">
        <v>1508</v>
      </c>
    </row>
    <row r="1324" customFormat="false" ht="139.5" hidden="false" customHeight="true" outlineLevel="0" collapsed="false">
      <c r="A1324" s="17" t="s">
        <v>454</v>
      </c>
      <c r="B1324" s="4" t="s">
        <v>1509</v>
      </c>
    </row>
    <row r="1325" customFormat="false" ht="13.5" hidden="false" customHeight="true" outlineLevel="0" collapsed="false">
      <c r="A1325" s="17" t="s">
        <v>456</v>
      </c>
      <c r="B1325" s="19" t="s">
        <v>457</v>
      </c>
    </row>
    <row r="1326" customFormat="false" ht="27.75" hidden="false" customHeight="true" outlineLevel="0" collapsed="false">
      <c r="A1326" s="17" t="s">
        <v>1089</v>
      </c>
      <c r="B1326" s="4" t="s">
        <v>1510</v>
      </c>
    </row>
    <row r="1327" customFormat="false" ht="13.5" hidden="false" customHeight="true" outlineLevel="0" collapsed="false">
      <c r="A1327" s="17"/>
      <c r="B1327" s="18" t="s">
        <v>1511</v>
      </c>
    </row>
    <row r="1328" customFormat="false" ht="27.75" hidden="false" customHeight="true" outlineLevel="0" collapsed="false">
      <c r="A1328" s="17"/>
      <c r="B1328" s="4" t="s">
        <v>1512</v>
      </c>
    </row>
    <row r="1329" customFormat="false" ht="13.5" hidden="false" customHeight="true" outlineLevel="0" collapsed="false">
      <c r="A1329" s="17"/>
      <c r="B1329" s="18" t="s">
        <v>1513</v>
      </c>
    </row>
    <row r="1330" customFormat="false" ht="13.5" hidden="false" customHeight="true" outlineLevel="0" collapsed="false">
      <c r="A1330" s="17"/>
      <c r="B1330" s="4" t="s">
        <v>1514</v>
      </c>
    </row>
    <row r="1331" customFormat="false" ht="13.5" hidden="false" customHeight="true" outlineLevel="0" collapsed="false">
      <c r="A1331" s="17"/>
      <c r="B1331" s="18" t="s">
        <v>1515</v>
      </c>
    </row>
    <row r="1332" customFormat="false" ht="13.5" hidden="false" customHeight="true" outlineLevel="0" collapsed="false">
      <c r="A1332" s="17"/>
      <c r="B1332" s="4" t="s">
        <v>1516</v>
      </c>
    </row>
    <row r="1335" customFormat="false" ht="15" hidden="false" customHeight="false" outlineLevel="0" collapsed="false">
      <c r="A1335" s="15" t="s">
        <v>197</v>
      </c>
      <c r="B1335" s="15" t="s">
        <v>1517</v>
      </c>
    </row>
    <row r="1336" customFormat="false" ht="15" hidden="false" customHeight="false" outlineLevel="0" collapsed="false">
      <c r="B1336" s="16" t="str">
        <f aca="false">HYPERLINK("#Label!G60","← Back to label (row 60)")</f>
        <v>← Back to label (row 60)</v>
      </c>
    </row>
    <row r="1337" customFormat="false" ht="13.5" hidden="false" customHeight="true" outlineLevel="0" collapsed="false">
      <c r="A1337" s="17" t="s">
        <v>24</v>
      </c>
      <c r="B1337" s="18" t="s">
        <v>49</v>
      </c>
    </row>
    <row r="1338" customFormat="false" ht="13.5" hidden="false" customHeight="true" outlineLevel="0" collapsed="false">
      <c r="A1338" s="17" t="s">
        <v>450</v>
      </c>
      <c r="B1338" s="4" t="s">
        <v>1518</v>
      </c>
    </row>
    <row r="1339" customFormat="false" ht="13.5" hidden="false" customHeight="true" outlineLevel="0" collapsed="false">
      <c r="A1339" s="17" t="s">
        <v>452</v>
      </c>
      <c r="B1339" s="18" t="s">
        <v>1519</v>
      </c>
    </row>
    <row r="1340" customFormat="false" ht="42" hidden="false" customHeight="true" outlineLevel="0" collapsed="false">
      <c r="A1340" s="17" t="s">
        <v>454</v>
      </c>
      <c r="B1340" s="4" t="s">
        <v>1520</v>
      </c>
    </row>
    <row r="1341" customFormat="false" ht="13.5" hidden="false" customHeight="true" outlineLevel="0" collapsed="false">
      <c r="A1341" s="17" t="s">
        <v>456</v>
      </c>
      <c r="B1341" s="19" t="s">
        <v>457</v>
      </c>
    </row>
    <row r="1342" customFormat="false" ht="13.5" hidden="false" customHeight="true" outlineLevel="0" collapsed="false">
      <c r="A1342" s="17" t="s">
        <v>519</v>
      </c>
      <c r="B1342" s="4" t="s">
        <v>1521</v>
      </c>
    </row>
    <row r="1345" customFormat="false" ht="15" hidden="false" customHeight="false" outlineLevel="0" collapsed="false">
      <c r="A1345" s="15" t="s">
        <v>199</v>
      </c>
      <c r="B1345" s="15" t="s">
        <v>200</v>
      </c>
    </row>
    <row r="1346" customFormat="false" ht="15" hidden="false" customHeight="false" outlineLevel="0" collapsed="false">
      <c r="B1346" s="16" t="str">
        <f aca="false">HYPERLINK("#Label!G61","← Back to label (row 61)")</f>
        <v>← Back to label (row 61)</v>
      </c>
    </row>
    <row r="1347" customFormat="false" ht="13.5" hidden="false" customHeight="true" outlineLevel="0" collapsed="false">
      <c r="A1347" s="17" t="s">
        <v>24</v>
      </c>
      <c r="B1347" s="18" t="s">
        <v>201</v>
      </c>
    </row>
    <row r="1348" customFormat="false" ht="13.5" hidden="false" customHeight="true" outlineLevel="0" collapsed="false">
      <c r="A1348" s="17" t="s">
        <v>450</v>
      </c>
      <c r="B1348" s="4" t="s">
        <v>1522</v>
      </c>
    </row>
    <row r="1349" customFormat="false" ht="13.5" hidden="false" customHeight="true" outlineLevel="0" collapsed="false">
      <c r="A1349" s="17" t="s">
        <v>454</v>
      </c>
      <c r="B1349" s="19" t="s">
        <v>486</v>
      </c>
    </row>
    <row r="1350" customFormat="false" ht="13.5" hidden="false" customHeight="true" outlineLevel="0" collapsed="false">
      <c r="A1350" s="17" t="s">
        <v>456</v>
      </c>
      <c r="B1350" s="20" t="s">
        <v>457</v>
      </c>
    </row>
    <row r="1351" customFormat="false" ht="13.5" hidden="false" customHeight="true" outlineLevel="0" collapsed="false">
      <c r="A1351" s="17" t="s">
        <v>519</v>
      </c>
      <c r="B1351" s="18" t="s">
        <v>1523</v>
      </c>
    </row>
    <row r="1354" customFormat="false" ht="15" hidden="false" customHeight="false" outlineLevel="0" collapsed="false">
      <c r="A1354" s="15" t="s">
        <v>202</v>
      </c>
      <c r="B1354" s="15" t="s">
        <v>203</v>
      </c>
    </row>
    <row r="1355" customFormat="false" ht="15" hidden="false" customHeight="false" outlineLevel="0" collapsed="false">
      <c r="B1355" s="16" t="str">
        <f aca="false">HYPERLINK("#Label!G62","← Back to label (row 62)")</f>
        <v>← Back to label (row 62)</v>
      </c>
    </row>
    <row r="1356" customFormat="false" ht="13.5" hidden="false" customHeight="true" outlineLevel="0" collapsed="false">
      <c r="A1356" s="17" t="s">
        <v>24</v>
      </c>
      <c r="B1356" s="18" t="s">
        <v>204</v>
      </c>
    </row>
    <row r="1357" customFormat="false" ht="13.5" hidden="false" customHeight="true" outlineLevel="0" collapsed="false">
      <c r="A1357" s="17" t="s">
        <v>450</v>
      </c>
      <c r="B1357" s="4" t="s">
        <v>1524</v>
      </c>
    </row>
    <row r="1358" customFormat="false" ht="13.5" hidden="false" customHeight="true" outlineLevel="0" collapsed="false">
      <c r="A1358" s="17" t="s">
        <v>452</v>
      </c>
      <c r="B1358" s="18" t="s">
        <v>1525</v>
      </c>
    </row>
    <row r="1359" customFormat="false" ht="69.75" hidden="false" customHeight="true" outlineLevel="0" collapsed="false">
      <c r="A1359" s="17" t="s">
        <v>454</v>
      </c>
      <c r="B1359" s="4" t="s">
        <v>1526</v>
      </c>
    </row>
    <row r="1360" customFormat="false" ht="13.5" hidden="false" customHeight="true" outlineLevel="0" collapsed="false">
      <c r="A1360" s="17" t="s">
        <v>456</v>
      </c>
      <c r="B1360" s="19" t="s">
        <v>457</v>
      </c>
    </row>
    <row r="1361" customFormat="false" ht="13.5" hidden="false" customHeight="true" outlineLevel="0" collapsed="false">
      <c r="A1361" s="17" t="s">
        <v>508</v>
      </c>
      <c r="B1361" s="20" t="s">
        <v>509</v>
      </c>
    </row>
    <row r="1364" customFormat="false" ht="15" hidden="false" customHeight="false" outlineLevel="0" collapsed="false">
      <c r="A1364" s="15" t="s">
        <v>205</v>
      </c>
      <c r="B1364" s="15" t="s">
        <v>1527</v>
      </c>
    </row>
    <row r="1365" customFormat="false" ht="15" hidden="false" customHeight="false" outlineLevel="0" collapsed="false">
      <c r="B1365" s="16" t="str">
        <f aca="false">HYPERLINK("#Label!G63","← Back to label (row 63)")</f>
        <v>← Back to label (row 63)</v>
      </c>
    </row>
    <row r="1366" customFormat="false" ht="42" hidden="false" customHeight="true" outlineLevel="0" collapsed="false">
      <c r="A1366" s="17" t="s">
        <v>24</v>
      </c>
      <c r="B1366" s="18" t="s">
        <v>207</v>
      </c>
    </row>
    <row r="1367" customFormat="false" ht="13.5" hidden="false" customHeight="true" outlineLevel="0" collapsed="false">
      <c r="A1367" s="17" t="s">
        <v>450</v>
      </c>
      <c r="B1367" s="4" t="s">
        <v>1528</v>
      </c>
    </row>
    <row r="1368" customFormat="false" ht="13.5" hidden="false" customHeight="true" outlineLevel="0" collapsed="false">
      <c r="A1368" s="17" t="s">
        <v>452</v>
      </c>
      <c r="B1368" s="18" t="s">
        <v>1529</v>
      </c>
    </row>
    <row r="1369" customFormat="false" ht="69.75" hidden="false" customHeight="true" outlineLevel="0" collapsed="false">
      <c r="A1369" s="17" t="s">
        <v>454</v>
      </c>
      <c r="B1369" s="4" t="s">
        <v>1530</v>
      </c>
    </row>
    <row r="1370" customFormat="false" ht="13.5" hidden="false" customHeight="true" outlineLevel="0" collapsed="false">
      <c r="A1370" s="17" t="s">
        <v>456</v>
      </c>
      <c r="B1370" s="19" t="s">
        <v>457</v>
      </c>
    </row>
    <row r="1371" customFormat="false" ht="13.5" hidden="false" customHeight="true" outlineLevel="0" collapsed="false">
      <c r="A1371" s="17" t="s">
        <v>508</v>
      </c>
      <c r="B1371" s="20" t="s">
        <v>509</v>
      </c>
    </row>
    <row r="1374" customFormat="false" ht="15" hidden="false" customHeight="false" outlineLevel="0" collapsed="false">
      <c r="A1374" s="15" t="s">
        <v>209</v>
      </c>
      <c r="B1374" s="15" t="s">
        <v>210</v>
      </c>
    </row>
    <row r="1375" customFormat="false" ht="15" hidden="false" customHeight="false" outlineLevel="0" collapsed="false">
      <c r="B1375" s="16" t="str">
        <f aca="false">HYPERLINK("#Label!G64","← Back to label (row 64)")</f>
        <v>← Back to label (row 64)</v>
      </c>
    </row>
    <row r="1376" customFormat="false" ht="13.5" hidden="false" customHeight="true" outlineLevel="0" collapsed="false">
      <c r="A1376" s="17" t="s">
        <v>24</v>
      </c>
      <c r="B1376" s="18" t="s">
        <v>59</v>
      </c>
    </row>
    <row r="1377" customFormat="false" ht="13.5" hidden="false" customHeight="true" outlineLevel="0" collapsed="false">
      <c r="A1377" s="17" t="s">
        <v>450</v>
      </c>
      <c r="B1377" s="4" t="s">
        <v>1531</v>
      </c>
    </row>
    <row r="1378" customFormat="false" ht="13.5" hidden="false" customHeight="true" outlineLevel="0" collapsed="false">
      <c r="A1378" s="17" t="s">
        <v>452</v>
      </c>
      <c r="B1378" s="18" t="s">
        <v>1532</v>
      </c>
    </row>
    <row r="1379" customFormat="false" ht="210" hidden="false" customHeight="true" outlineLevel="0" collapsed="false">
      <c r="A1379" s="17" t="s">
        <v>454</v>
      </c>
      <c r="B1379" s="4" t="s">
        <v>1533</v>
      </c>
    </row>
    <row r="1380" customFormat="false" ht="13.5" hidden="false" customHeight="true" outlineLevel="0" collapsed="false">
      <c r="A1380" s="17" t="s">
        <v>456</v>
      </c>
      <c r="B1380" s="19" t="s">
        <v>457</v>
      </c>
    </row>
    <row r="1381" customFormat="false" ht="13.5" hidden="false" customHeight="true" outlineLevel="0" collapsed="false">
      <c r="A1381" s="17" t="s">
        <v>519</v>
      </c>
      <c r="B1381" s="4" t="s">
        <v>1534</v>
      </c>
    </row>
    <row r="1384" customFormat="false" ht="15" hidden="false" customHeight="false" outlineLevel="0" collapsed="false">
      <c r="A1384" s="15" t="s">
        <v>211</v>
      </c>
      <c r="B1384" s="15" t="s">
        <v>212</v>
      </c>
    </row>
    <row r="1385" customFormat="false" ht="15" hidden="false" customHeight="false" outlineLevel="0" collapsed="false">
      <c r="B1385" s="16" t="str">
        <f aca="false">HYPERLINK("#Label!G65","← Back to label (row 65)")</f>
        <v>← Back to label (row 65)</v>
      </c>
    </row>
    <row r="1386" customFormat="false" ht="13.5" hidden="false" customHeight="true" outlineLevel="0" collapsed="false">
      <c r="A1386" s="17" t="s">
        <v>24</v>
      </c>
      <c r="B1386" s="18" t="s">
        <v>213</v>
      </c>
    </row>
    <row r="1387" customFormat="false" ht="13.5" hidden="false" customHeight="true" outlineLevel="0" collapsed="false">
      <c r="A1387" s="17" t="s">
        <v>450</v>
      </c>
      <c r="B1387" s="4" t="s">
        <v>1535</v>
      </c>
    </row>
    <row r="1388" customFormat="false" ht="13.5" hidden="false" customHeight="true" outlineLevel="0" collapsed="false">
      <c r="A1388" s="17" t="s">
        <v>454</v>
      </c>
      <c r="B1388" s="19" t="s">
        <v>486</v>
      </c>
    </row>
    <row r="1389" customFormat="false" ht="13.5" hidden="false" customHeight="true" outlineLevel="0" collapsed="false">
      <c r="A1389" s="17" t="s">
        <v>456</v>
      </c>
      <c r="B1389" s="20" t="s">
        <v>457</v>
      </c>
    </row>
    <row r="1390" customFormat="false" ht="27.75" hidden="false" customHeight="true" outlineLevel="0" collapsed="false">
      <c r="A1390" s="17" t="s">
        <v>1536</v>
      </c>
      <c r="B1390" s="18" t="s">
        <v>1537</v>
      </c>
    </row>
    <row r="1391" customFormat="false" ht="13.5" hidden="false" customHeight="true" outlineLevel="0" collapsed="false">
      <c r="A1391" s="17"/>
      <c r="B1391" s="4" t="s">
        <v>1538</v>
      </c>
    </row>
    <row r="1392" customFormat="false" ht="13.5" hidden="false" customHeight="true" outlineLevel="0" collapsed="false">
      <c r="A1392" s="17"/>
      <c r="B1392" s="18" t="s">
        <v>1539</v>
      </c>
    </row>
    <row r="1393" customFormat="false" ht="13.5" hidden="false" customHeight="true" outlineLevel="0" collapsed="false">
      <c r="A1393" s="17"/>
      <c r="B1393" s="4" t="s">
        <v>1540</v>
      </c>
    </row>
    <row r="1394" customFormat="false" ht="27.75" hidden="false" customHeight="true" outlineLevel="0" collapsed="false">
      <c r="A1394" s="17"/>
      <c r="B1394" s="18" t="s">
        <v>1541</v>
      </c>
    </row>
    <row r="1395" customFormat="false" ht="13.5" hidden="false" customHeight="true" outlineLevel="0" collapsed="false">
      <c r="A1395" s="17"/>
      <c r="B1395" s="4" t="s">
        <v>1542</v>
      </c>
    </row>
    <row r="1396" customFormat="false" ht="13.5" hidden="false" customHeight="true" outlineLevel="0" collapsed="false">
      <c r="A1396" s="17"/>
      <c r="B1396" s="18" t="s">
        <v>1543</v>
      </c>
    </row>
    <row r="1397" customFormat="false" ht="13.5" hidden="false" customHeight="true" outlineLevel="0" collapsed="false">
      <c r="A1397" s="17"/>
      <c r="B1397" s="4" t="s">
        <v>1544</v>
      </c>
    </row>
    <row r="1398" customFormat="false" ht="13.5" hidden="false" customHeight="true" outlineLevel="0" collapsed="false">
      <c r="A1398" s="17"/>
      <c r="B1398" s="18" t="s">
        <v>1545</v>
      </c>
    </row>
    <row r="1399" customFormat="false" ht="13.5" hidden="false" customHeight="true" outlineLevel="0" collapsed="false">
      <c r="A1399" s="17"/>
      <c r="B1399" s="4" t="s">
        <v>1546</v>
      </c>
    </row>
    <row r="1400" customFormat="false" ht="13.5" hidden="false" customHeight="true" outlineLevel="0" collapsed="false">
      <c r="A1400" s="17"/>
      <c r="B1400" s="18" t="s">
        <v>1547</v>
      </c>
    </row>
    <row r="1401" customFormat="false" ht="13.5" hidden="false" customHeight="true" outlineLevel="0" collapsed="false">
      <c r="A1401" s="17"/>
      <c r="B1401" s="4" t="s">
        <v>1548</v>
      </c>
    </row>
    <row r="1402" customFormat="false" ht="27.75" hidden="false" customHeight="true" outlineLevel="0" collapsed="false">
      <c r="A1402" s="17"/>
      <c r="B1402" s="18" t="s">
        <v>1549</v>
      </c>
    </row>
    <row r="1403" customFormat="false" ht="13.5" hidden="false" customHeight="true" outlineLevel="0" collapsed="false">
      <c r="A1403" s="17"/>
      <c r="B1403" s="4" t="s">
        <v>1550</v>
      </c>
    </row>
    <row r="1404" customFormat="false" ht="13.5" hidden="false" customHeight="true" outlineLevel="0" collapsed="false">
      <c r="A1404" s="17"/>
      <c r="B1404" s="18" t="s">
        <v>1551</v>
      </c>
    </row>
    <row r="1405" customFormat="false" ht="13.5" hidden="false" customHeight="true" outlineLevel="0" collapsed="false">
      <c r="A1405" s="17"/>
      <c r="B1405" s="4" t="s">
        <v>1552</v>
      </c>
    </row>
    <row r="1408" customFormat="false" ht="15" hidden="false" customHeight="false" outlineLevel="0" collapsed="false">
      <c r="A1408" s="15" t="s">
        <v>214</v>
      </c>
      <c r="B1408" s="15" t="s">
        <v>1553</v>
      </c>
    </row>
    <row r="1409" customFormat="false" ht="15" hidden="false" customHeight="false" outlineLevel="0" collapsed="false">
      <c r="B1409" s="16" t="str">
        <f aca="false">HYPERLINK("#Label!G66","← Back to label (row 66)")</f>
        <v>← Back to label (row 66)</v>
      </c>
    </row>
    <row r="1410" customFormat="false" ht="42" hidden="false" customHeight="true" outlineLevel="0" collapsed="false">
      <c r="A1410" s="17" t="s">
        <v>24</v>
      </c>
      <c r="B1410" s="18" t="s">
        <v>216</v>
      </c>
    </row>
    <row r="1411" customFormat="false" ht="13.5" hidden="false" customHeight="true" outlineLevel="0" collapsed="false">
      <c r="A1411" s="17" t="s">
        <v>450</v>
      </c>
      <c r="B1411" s="4" t="s">
        <v>1554</v>
      </c>
    </row>
    <row r="1412" customFormat="false" ht="13.5" hidden="false" customHeight="true" outlineLevel="0" collapsed="false">
      <c r="A1412" s="17" t="s">
        <v>452</v>
      </c>
      <c r="B1412" s="18" t="s">
        <v>1555</v>
      </c>
    </row>
    <row r="1413" customFormat="false" ht="69.75" hidden="false" customHeight="true" outlineLevel="0" collapsed="false">
      <c r="A1413" s="17" t="s">
        <v>454</v>
      </c>
      <c r="B1413" s="4" t="s">
        <v>1556</v>
      </c>
    </row>
    <row r="1414" customFormat="false" ht="13.5" hidden="false" customHeight="true" outlineLevel="0" collapsed="false">
      <c r="A1414" s="17" t="s">
        <v>456</v>
      </c>
      <c r="B1414" s="19" t="s">
        <v>457</v>
      </c>
    </row>
    <row r="1415" customFormat="false" ht="13.5" hidden="false" customHeight="true" outlineLevel="0" collapsed="false">
      <c r="A1415" s="17" t="s">
        <v>1376</v>
      </c>
      <c r="B1415" s="4" t="s">
        <v>1557</v>
      </c>
    </row>
    <row r="1416" customFormat="false" ht="13.5" hidden="false" customHeight="true" outlineLevel="0" collapsed="false">
      <c r="A1416" s="17"/>
      <c r="B1416" s="18" t="s">
        <v>1558</v>
      </c>
    </row>
    <row r="1417" customFormat="false" ht="13.5" hidden="false" customHeight="true" outlineLevel="0" collapsed="false">
      <c r="A1417" s="17"/>
      <c r="B1417" s="4" t="s">
        <v>1559</v>
      </c>
    </row>
    <row r="1418" customFormat="false" ht="13.5" hidden="false" customHeight="true" outlineLevel="0" collapsed="false">
      <c r="A1418" s="17"/>
      <c r="B1418" s="18" t="s">
        <v>1560</v>
      </c>
    </row>
    <row r="1419" customFormat="false" ht="13.5" hidden="false" customHeight="true" outlineLevel="0" collapsed="false">
      <c r="A1419" s="17"/>
      <c r="B1419" s="4" t="s">
        <v>1561</v>
      </c>
    </row>
    <row r="1422" customFormat="false" ht="15" hidden="false" customHeight="false" outlineLevel="0" collapsed="false">
      <c r="A1422" s="15" t="s">
        <v>218</v>
      </c>
      <c r="B1422" s="15" t="s">
        <v>1562</v>
      </c>
    </row>
    <row r="1423" customFormat="false" ht="15" hidden="false" customHeight="false" outlineLevel="0" collapsed="false">
      <c r="B1423" s="16" t="str">
        <f aca="false">HYPERLINK("#Label!G67","← Back to label (row 67)")</f>
        <v>← Back to label (row 67)</v>
      </c>
    </row>
    <row r="1424" customFormat="false" ht="13.5" hidden="false" customHeight="true" outlineLevel="0" collapsed="false">
      <c r="A1424" s="17" t="s">
        <v>24</v>
      </c>
      <c r="B1424" s="18" t="s">
        <v>220</v>
      </c>
    </row>
    <row r="1425" customFormat="false" ht="13.5" hidden="false" customHeight="true" outlineLevel="0" collapsed="false">
      <c r="A1425" s="17" t="s">
        <v>450</v>
      </c>
      <c r="B1425" s="4" t="s">
        <v>1563</v>
      </c>
    </row>
    <row r="1426" customFormat="false" ht="13.5" hidden="false" customHeight="true" outlineLevel="0" collapsed="false">
      <c r="A1426" s="17" t="s">
        <v>452</v>
      </c>
      <c r="B1426" s="18" t="s">
        <v>1564</v>
      </c>
    </row>
    <row r="1427" customFormat="false" ht="126" hidden="false" customHeight="true" outlineLevel="0" collapsed="false">
      <c r="A1427" s="17" t="s">
        <v>454</v>
      </c>
      <c r="B1427" s="4" t="s">
        <v>1565</v>
      </c>
    </row>
    <row r="1428" customFormat="false" ht="13.5" hidden="false" customHeight="true" outlineLevel="0" collapsed="false">
      <c r="A1428" s="17" t="s">
        <v>456</v>
      </c>
      <c r="B1428" s="19" t="s">
        <v>457</v>
      </c>
    </row>
    <row r="1429" customFormat="false" ht="13.5" hidden="false" customHeight="true" outlineLevel="0" collapsed="false">
      <c r="A1429" s="17" t="s">
        <v>508</v>
      </c>
      <c r="B1429" s="20" t="s">
        <v>509</v>
      </c>
    </row>
    <row r="1432" customFormat="false" ht="15" hidden="false" customHeight="false" outlineLevel="0" collapsed="false">
      <c r="A1432" s="15" t="s">
        <v>222</v>
      </c>
      <c r="B1432" s="15" t="s">
        <v>1566</v>
      </c>
    </row>
    <row r="1433" customFormat="false" ht="15" hidden="false" customHeight="false" outlineLevel="0" collapsed="false">
      <c r="B1433" s="16" t="str">
        <f aca="false">HYPERLINK("#Label!G68","← Back to label (row 68)")</f>
        <v>← Back to label (row 68)</v>
      </c>
    </row>
    <row r="1434" customFormat="false" ht="13.5" hidden="false" customHeight="true" outlineLevel="0" collapsed="false">
      <c r="A1434" s="17" t="s">
        <v>24</v>
      </c>
      <c r="B1434" s="18" t="s">
        <v>49</v>
      </c>
    </row>
    <row r="1435" customFormat="false" ht="13.5" hidden="false" customHeight="true" outlineLevel="0" collapsed="false">
      <c r="A1435" s="17" t="s">
        <v>450</v>
      </c>
      <c r="B1435" s="4" t="s">
        <v>1567</v>
      </c>
    </row>
    <row r="1436" customFormat="false" ht="13.5" hidden="false" customHeight="true" outlineLevel="0" collapsed="false">
      <c r="A1436" s="17" t="s">
        <v>452</v>
      </c>
      <c r="B1436" s="18" t="s">
        <v>1568</v>
      </c>
    </row>
    <row r="1437" customFormat="false" ht="42" hidden="false" customHeight="true" outlineLevel="0" collapsed="false">
      <c r="A1437" s="17" t="s">
        <v>454</v>
      </c>
      <c r="B1437" s="4" t="s">
        <v>1569</v>
      </c>
    </row>
    <row r="1438" customFormat="false" ht="13.5" hidden="false" customHeight="true" outlineLevel="0" collapsed="false">
      <c r="A1438" s="17" t="s">
        <v>456</v>
      </c>
      <c r="B1438" s="19" t="s">
        <v>457</v>
      </c>
    </row>
    <row r="1439" customFormat="false" ht="13.5" hidden="false" customHeight="true" outlineLevel="0" collapsed="false">
      <c r="A1439" s="17" t="s">
        <v>514</v>
      </c>
      <c r="B1439" s="4" t="s">
        <v>1570</v>
      </c>
    </row>
    <row r="1440" customFormat="false" ht="13.5" hidden="false" customHeight="true" outlineLevel="0" collapsed="false">
      <c r="A1440" s="17"/>
      <c r="B1440" s="18" t="s">
        <v>1571</v>
      </c>
    </row>
    <row r="1443" customFormat="false" ht="15" hidden="false" customHeight="false" outlineLevel="0" collapsed="false">
      <c r="A1443" s="15" t="s">
        <v>224</v>
      </c>
      <c r="B1443" s="15" t="s">
        <v>1572</v>
      </c>
    </row>
    <row r="1444" customFormat="false" ht="15" hidden="false" customHeight="false" outlineLevel="0" collapsed="false">
      <c r="B1444" s="16" t="str">
        <f aca="false">HYPERLINK("#Label!G69","← Back to label (row 69)")</f>
        <v>← Back to label (row 69)</v>
      </c>
    </row>
    <row r="1445" customFormat="false" ht="55.5" hidden="false" customHeight="true" outlineLevel="0" collapsed="false">
      <c r="A1445" s="17" t="s">
        <v>24</v>
      </c>
      <c r="B1445" s="18" t="s">
        <v>1573</v>
      </c>
    </row>
    <row r="1446" customFormat="false" ht="13.5" hidden="false" customHeight="true" outlineLevel="0" collapsed="false">
      <c r="A1446" s="17" t="s">
        <v>450</v>
      </c>
      <c r="B1446" s="4" t="s">
        <v>1574</v>
      </c>
    </row>
    <row r="1447" customFormat="false" ht="13.5" hidden="false" customHeight="true" outlineLevel="0" collapsed="false">
      <c r="A1447" s="17" t="s">
        <v>452</v>
      </c>
      <c r="B1447" s="18" t="s">
        <v>1575</v>
      </c>
    </row>
    <row r="1448" customFormat="false" ht="321.75" hidden="false" customHeight="true" outlineLevel="0" collapsed="false">
      <c r="A1448" s="17" t="s">
        <v>454</v>
      </c>
      <c r="B1448" s="4" t="s">
        <v>1576</v>
      </c>
    </row>
    <row r="1449" customFormat="false" ht="13.5" hidden="false" customHeight="true" outlineLevel="0" collapsed="false">
      <c r="A1449" s="17" t="s">
        <v>456</v>
      </c>
      <c r="B1449" s="19" t="s">
        <v>457</v>
      </c>
    </row>
    <row r="1450" customFormat="false" ht="13.5" hidden="false" customHeight="true" outlineLevel="0" collapsed="false">
      <c r="A1450" s="17" t="s">
        <v>1066</v>
      </c>
      <c r="B1450" s="4" t="s">
        <v>1577</v>
      </c>
    </row>
    <row r="1451" customFormat="false" ht="13.5" hidden="false" customHeight="true" outlineLevel="0" collapsed="false">
      <c r="A1451" s="17"/>
      <c r="B1451" s="18" t="s">
        <v>1578</v>
      </c>
    </row>
    <row r="1452" customFormat="false" ht="13.5" hidden="false" customHeight="true" outlineLevel="0" collapsed="false">
      <c r="A1452" s="17"/>
      <c r="B1452" s="4" t="s">
        <v>1579</v>
      </c>
    </row>
    <row r="1453" customFormat="false" ht="13.5" hidden="false" customHeight="true" outlineLevel="0" collapsed="false">
      <c r="A1453" s="17"/>
      <c r="B1453" s="18" t="s">
        <v>1580</v>
      </c>
    </row>
    <row r="1454" customFormat="false" ht="13.5" hidden="false" customHeight="true" outlineLevel="0" collapsed="false">
      <c r="A1454" s="17"/>
      <c r="B1454" s="4" t="s">
        <v>1581</v>
      </c>
    </row>
    <row r="1455" customFormat="false" ht="13.5" hidden="false" customHeight="true" outlineLevel="0" collapsed="false">
      <c r="A1455" s="17"/>
      <c r="B1455" s="18" t="s">
        <v>1582</v>
      </c>
    </row>
    <row r="1456" customFormat="false" ht="13.5" hidden="false" customHeight="true" outlineLevel="0" collapsed="false">
      <c r="A1456" s="17"/>
      <c r="B1456" s="4" t="s">
        <v>1583</v>
      </c>
    </row>
    <row r="1457" customFormat="false" ht="13.5" hidden="false" customHeight="true" outlineLevel="0" collapsed="false">
      <c r="A1457" s="17"/>
      <c r="B1457" s="18" t="s">
        <v>1584</v>
      </c>
    </row>
    <row r="1458" customFormat="false" ht="13.5" hidden="false" customHeight="true" outlineLevel="0" collapsed="false">
      <c r="A1458" s="17"/>
      <c r="B1458" s="4" t="s">
        <v>1585</v>
      </c>
    </row>
    <row r="1459" customFormat="false" ht="13.5" hidden="false" customHeight="true" outlineLevel="0" collapsed="false">
      <c r="A1459" s="17"/>
      <c r="B1459" s="18" t="s">
        <v>1586</v>
      </c>
    </row>
    <row r="1460" customFormat="false" ht="13.5" hidden="false" customHeight="true" outlineLevel="0" collapsed="false">
      <c r="A1460" s="17"/>
      <c r="B1460" s="4" t="s">
        <v>1587</v>
      </c>
    </row>
    <row r="1461" customFormat="false" ht="13.5" hidden="false" customHeight="true" outlineLevel="0" collapsed="false">
      <c r="A1461" s="17"/>
      <c r="B1461" s="18" t="s">
        <v>1588</v>
      </c>
    </row>
    <row r="1462" customFormat="false" ht="13.5" hidden="false" customHeight="true" outlineLevel="0" collapsed="false">
      <c r="A1462" s="17"/>
      <c r="B1462" s="4" t="s">
        <v>1589</v>
      </c>
    </row>
    <row r="1463" customFormat="false" ht="13.5" hidden="false" customHeight="true" outlineLevel="0" collapsed="false">
      <c r="A1463" s="17"/>
      <c r="B1463" s="18" t="s">
        <v>1590</v>
      </c>
    </row>
    <row r="1464" customFormat="false" ht="13.5" hidden="false" customHeight="true" outlineLevel="0" collapsed="false">
      <c r="A1464" s="17"/>
      <c r="B1464" s="4" t="s">
        <v>1591</v>
      </c>
    </row>
    <row r="1465" customFormat="false" ht="13.5" hidden="false" customHeight="true" outlineLevel="0" collapsed="false">
      <c r="A1465" s="17"/>
      <c r="B1465" s="18" t="s">
        <v>1592</v>
      </c>
    </row>
    <row r="1466" customFormat="false" ht="27.75" hidden="false" customHeight="true" outlineLevel="0" collapsed="false">
      <c r="A1466" s="17"/>
      <c r="B1466" s="4" t="s">
        <v>1593</v>
      </c>
    </row>
    <row r="1467" customFormat="false" ht="27.75" hidden="false" customHeight="true" outlineLevel="0" collapsed="false">
      <c r="A1467" s="17"/>
      <c r="B1467" s="18" t="s">
        <v>1594</v>
      </c>
    </row>
    <row r="1470" customFormat="false" ht="15" hidden="false" customHeight="false" outlineLevel="0" collapsed="false">
      <c r="A1470" s="15" t="s">
        <v>227</v>
      </c>
      <c r="B1470" s="15" t="s">
        <v>1595</v>
      </c>
    </row>
    <row r="1471" customFormat="false" ht="15" hidden="false" customHeight="false" outlineLevel="0" collapsed="false">
      <c r="B1471" s="16" t="str">
        <f aca="false">HYPERLINK("#Label!G70","← Back to label (row 70)")</f>
        <v>← Back to label (row 70)</v>
      </c>
    </row>
    <row r="1472" customFormat="false" ht="13.5" hidden="false" customHeight="true" outlineLevel="0" collapsed="false">
      <c r="A1472" s="17" t="s">
        <v>24</v>
      </c>
      <c r="B1472" s="18" t="s">
        <v>59</v>
      </c>
    </row>
    <row r="1473" customFormat="false" ht="13.5" hidden="false" customHeight="true" outlineLevel="0" collapsed="false">
      <c r="A1473" s="17" t="s">
        <v>450</v>
      </c>
      <c r="B1473" s="4" t="s">
        <v>1596</v>
      </c>
    </row>
    <row r="1474" customFormat="false" ht="13.5" hidden="false" customHeight="true" outlineLevel="0" collapsed="false">
      <c r="A1474" s="17" t="s">
        <v>454</v>
      </c>
      <c r="B1474" s="19" t="s">
        <v>486</v>
      </c>
    </row>
    <row r="1475" customFormat="false" ht="13.5" hidden="false" customHeight="true" outlineLevel="0" collapsed="false">
      <c r="A1475" s="17" t="s">
        <v>456</v>
      </c>
      <c r="B1475" s="20" t="s">
        <v>457</v>
      </c>
    </row>
    <row r="1476" customFormat="false" ht="13.5" hidden="false" customHeight="true" outlineLevel="0" collapsed="false">
      <c r="A1476" s="17" t="s">
        <v>519</v>
      </c>
      <c r="B1476" s="18" t="s">
        <v>1597</v>
      </c>
    </row>
    <row r="1479" customFormat="false" ht="15" hidden="false" customHeight="false" outlineLevel="0" collapsed="false">
      <c r="A1479" s="15" t="s">
        <v>229</v>
      </c>
      <c r="B1479" s="15" t="s">
        <v>1598</v>
      </c>
    </row>
    <row r="1480" customFormat="false" ht="15" hidden="false" customHeight="false" outlineLevel="0" collapsed="false">
      <c r="B1480" s="16" t="str">
        <f aca="false">HYPERLINK("#Label!G71","← Back to label (row 71)")</f>
        <v>← Back to label (row 71)</v>
      </c>
    </row>
    <row r="1481" customFormat="false" ht="13.5" hidden="false" customHeight="true" outlineLevel="0" collapsed="false">
      <c r="A1481" s="17" t="s">
        <v>24</v>
      </c>
      <c r="B1481" s="18" t="s">
        <v>71</v>
      </c>
    </row>
    <row r="1482" customFormat="false" ht="13.5" hidden="false" customHeight="true" outlineLevel="0" collapsed="false">
      <c r="A1482" s="17" t="s">
        <v>450</v>
      </c>
      <c r="B1482" s="4" t="s">
        <v>1599</v>
      </c>
    </row>
    <row r="1483" customFormat="false" ht="13.5" hidden="false" customHeight="true" outlineLevel="0" collapsed="false">
      <c r="A1483" s="17" t="s">
        <v>454</v>
      </c>
      <c r="B1483" s="19" t="s">
        <v>486</v>
      </c>
    </row>
    <row r="1484" customFormat="false" ht="13.5" hidden="false" customHeight="true" outlineLevel="0" collapsed="false">
      <c r="A1484" s="17" t="s">
        <v>456</v>
      </c>
      <c r="B1484" s="20" t="s">
        <v>457</v>
      </c>
    </row>
    <row r="1485" customFormat="false" ht="13.5" hidden="false" customHeight="true" outlineLevel="0" collapsed="false">
      <c r="A1485" s="17" t="s">
        <v>729</v>
      </c>
      <c r="B1485" s="18" t="s">
        <v>1600</v>
      </c>
    </row>
    <row r="1486" customFormat="false" ht="13.5" hidden="false" customHeight="true" outlineLevel="0" collapsed="false">
      <c r="A1486" s="17"/>
      <c r="B1486" s="4" t="s">
        <v>1601</v>
      </c>
    </row>
    <row r="1487" customFormat="false" ht="13.5" hidden="false" customHeight="true" outlineLevel="0" collapsed="false">
      <c r="A1487" s="17"/>
      <c r="B1487" s="18" t="s">
        <v>1602</v>
      </c>
    </row>
    <row r="1488" customFormat="false" ht="13.5" hidden="false" customHeight="true" outlineLevel="0" collapsed="false">
      <c r="A1488" s="17"/>
      <c r="B1488" s="4" t="s">
        <v>1603</v>
      </c>
    </row>
    <row r="1489" customFormat="false" ht="27.75" hidden="false" customHeight="true" outlineLevel="0" collapsed="false">
      <c r="A1489" s="17"/>
      <c r="B1489" s="18" t="s">
        <v>1604</v>
      </c>
    </row>
    <row r="1490" customFormat="false" ht="13.5" hidden="false" customHeight="true" outlineLevel="0" collapsed="false">
      <c r="A1490" s="17"/>
      <c r="B1490" s="4" t="s">
        <v>1605</v>
      </c>
    </row>
    <row r="1491" customFormat="false" ht="13.5" hidden="false" customHeight="true" outlineLevel="0" collapsed="false">
      <c r="A1491" s="17"/>
      <c r="B1491" s="18" t="s">
        <v>1606</v>
      </c>
    </row>
    <row r="1492" customFormat="false" ht="13.5" hidden="false" customHeight="true" outlineLevel="0" collapsed="false">
      <c r="A1492" s="17"/>
      <c r="B1492" s="4" t="s">
        <v>1607</v>
      </c>
    </row>
    <row r="1493" customFormat="false" ht="13.5" hidden="false" customHeight="true" outlineLevel="0" collapsed="false">
      <c r="A1493" s="17"/>
      <c r="B1493" s="18" t="s">
        <v>1608</v>
      </c>
    </row>
    <row r="1494" customFormat="false" ht="13.5" hidden="false" customHeight="true" outlineLevel="0" collapsed="false">
      <c r="A1494" s="17"/>
      <c r="B1494" s="4" t="s">
        <v>1609</v>
      </c>
    </row>
    <row r="1495" customFormat="false" ht="13.5" hidden="false" customHeight="true" outlineLevel="0" collapsed="false">
      <c r="A1495" s="17"/>
      <c r="B1495" s="18" t="s">
        <v>1610</v>
      </c>
    </row>
    <row r="1498" customFormat="false" ht="15" hidden="false" customHeight="false" outlineLevel="0" collapsed="false">
      <c r="A1498" s="15" t="s">
        <v>231</v>
      </c>
      <c r="B1498" s="15" t="s">
        <v>1611</v>
      </c>
    </row>
    <row r="1499" customFormat="false" ht="15" hidden="false" customHeight="false" outlineLevel="0" collapsed="false">
      <c r="B1499" s="16" t="str">
        <f aca="false">HYPERLINK("#Label!G72","← Back to label (row 72)")</f>
        <v>← Back to label (row 72)</v>
      </c>
    </row>
    <row r="1500" customFormat="false" ht="27.75" hidden="false" customHeight="true" outlineLevel="0" collapsed="false">
      <c r="A1500" s="17" t="s">
        <v>24</v>
      </c>
      <c r="B1500" s="18" t="s">
        <v>233</v>
      </c>
    </row>
    <row r="1501" customFormat="false" ht="13.5" hidden="false" customHeight="true" outlineLevel="0" collapsed="false">
      <c r="A1501" s="17" t="s">
        <v>450</v>
      </c>
      <c r="B1501" s="4" t="s">
        <v>1612</v>
      </c>
    </row>
    <row r="1502" customFormat="false" ht="13.5" hidden="false" customHeight="true" outlineLevel="0" collapsed="false">
      <c r="A1502" s="17" t="s">
        <v>452</v>
      </c>
      <c r="B1502" s="18" t="s">
        <v>1613</v>
      </c>
    </row>
    <row r="1503" customFormat="false" ht="84" hidden="false" customHeight="true" outlineLevel="0" collapsed="false">
      <c r="A1503" s="17" t="s">
        <v>454</v>
      </c>
      <c r="B1503" s="4" t="s">
        <v>1614</v>
      </c>
    </row>
    <row r="1504" customFormat="false" ht="27.75" hidden="false" customHeight="true" outlineLevel="0" collapsed="false">
      <c r="A1504" s="17" t="s">
        <v>456</v>
      </c>
      <c r="B1504" s="18" t="s">
        <v>1615</v>
      </c>
    </row>
    <row r="1505" customFormat="false" ht="13.5" hidden="false" customHeight="true" outlineLevel="0" collapsed="false">
      <c r="A1505" s="17" t="s">
        <v>1616</v>
      </c>
      <c r="B1505" s="4" t="s">
        <v>1617</v>
      </c>
    </row>
    <row r="1506" customFormat="false" ht="13.5" hidden="false" customHeight="true" outlineLevel="0" collapsed="false">
      <c r="A1506" s="17"/>
      <c r="B1506" s="18" t="s">
        <v>1618</v>
      </c>
    </row>
    <row r="1507" customFormat="false" ht="13.5" hidden="false" customHeight="true" outlineLevel="0" collapsed="false">
      <c r="A1507" s="17"/>
      <c r="B1507" s="4" t="s">
        <v>1619</v>
      </c>
    </row>
    <row r="1508" customFormat="false" ht="13.5" hidden="false" customHeight="true" outlineLevel="0" collapsed="false">
      <c r="A1508" s="17"/>
      <c r="B1508" s="18" t="s">
        <v>1620</v>
      </c>
    </row>
    <row r="1509" customFormat="false" ht="13.5" hidden="false" customHeight="true" outlineLevel="0" collapsed="false">
      <c r="A1509" s="17"/>
      <c r="B1509" s="4" t="s">
        <v>1621</v>
      </c>
    </row>
    <row r="1510" customFormat="false" ht="13.5" hidden="false" customHeight="true" outlineLevel="0" collapsed="false">
      <c r="A1510" s="17"/>
      <c r="B1510" s="18" t="s">
        <v>1622</v>
      </c>
    </row>
    <row r="1511" customFormat="false" ht="13.5" hidden="false" customHeight="true" outlineLevel="0" collapsed="false">
      <c r="A1511" s="17"/>
      <c r="B1511" s="4" t="s">
        <v>1623</v>
      </c>
    </row>
    <row r="1512" customFormat="false" ht="13.5" hidden="false" customHeight="true" outlineLevel="0" collapsed="false">
      <c r="A1512" s="17"/>
      <c r="B1512" s="18" t="s">
        <v>1624</v>
      </c>
    </row>
    <row r="1513" customFormat="false" ht="13.5" hidden="false" customHeight="true" outlineLevel="0" collapsed="false">
      <c r="A1513" s="17"/>
      <c r="B1513" s="4" t="s">
        <v>1625</v>
      </c>
    </row>
    <row r="1514" customFormat="false" ht="13.5" hidden="false" customHeight="true" outlineLevel="0" collapsed="false">
      <c r="A1514" s="17"/>
      <c r="B1514" s="18" t="s">
        <v>1626</v>
      </c>
    </row>
    <row r="1515" customFormat="false" ht="13.5" hidden="false" customHeight="true" outlineLevel="0" collapsed="false">
      <c r="A1515" s="17"/>
      <c r="B1515" s="4" t="s">
        <v>1627</v>
      </c>
    </row>
    <row r="1516" customFormat="false" ht="13.5" hidden="false" customHeight="true" outlineLevel="0" collapsed="false">
      <c r="A1516" s="17"/>
      <c r="B1516" s="18" t="s">
        <v>1628</v>
      </c>
    </row>
    <row r="1517" customFormat="false" ht="13.5" hidden="false" customHeight="true" outlineLevel="0" collapsed="false">
      <c r="A1517" s="17"/>
      <c r="B1517" s="4" t="s">
        <v>1629</v>
      </c>
    </row>
    <row r="1518" customFormat="false" ht="13.5" hidden="false" customHeight="true" outlineLevel="0" collapsed="false">
      <c r="A1518" s="17"/>
      <c r="B1518" s="18" t="s">
        <v>1630</v>
      </c>
    </row>
    <row r="1519" customFormat="false" ht="13.5" hidden="false" customHeight="true" outlineLevel="0" collapsed="false">
      <c r="A1519" s="17"/>
      <c r="B1519" s="4" t="s">
        <v>1631</v>
      </c>
    </row>
    <row r="1520" customFormat="false" ht="13.5" hidden="false" customHeight="true" outlineLevel="0" collapsed="false">
      <c r="A1520" s="17"/>
      <c r="B1520" s="18" t="s">
        <v>1632</v>
      </c>
    </row>
    <row r="1521" customFormat="false" ht="13.5" hidden="false" customHeight="true" outlineLevel="0" collapsed="false">
      <c r="A1521" s="17"/>
      <c r="B1521" s="4" t="s">
        <v>1633</v>
      </c>
    </row>
    <row r="1522" customFormat="false" ht="13.5" hidden="false" customHeight="true" outlineLevel="0" collapsed="false">
      <c r="A1522" s="17"/>
      <c r="B1522" s="18" t="s">
        <v>1634</v>
      </c>
    </row>
    <row r="1523" customFormat="false" ht="13.5" hidden="false" customHeight="true" outlineLevel="0" collapsed="false">
      <c r="A1523" s="17"/>
      <c r="B1523" s="4" t="s">
        <v>1635</v>
      </c>
    </row>
    <row r="1524" customFormat="false" ht="13.5" hidden="false" customHeight="true" outlineLevel="0" collapsed="false">
      <c r="A1524" s="17"/>
      <c r="B1524" s="18" t="s">
        <v>1636</v>
      </c>
    </row>
    <row r="1525" customFormat="false" ht="13.5" hidden="false" customHeight="true" outlineLevel="0" collapsed="false">
      <c r="A1525" s="17"/>
      <c r="B1525" s="4" t="s">
        <v>1637</v>
      </c>
    </row>
    <row r="1526" customFormat="false" ht="13.5" hidden="false" customHeight="true" outlineLevel="0" collapsed="false">
      <c r="A1526" s="17"/>
      <c r="B1526" s="18" t="s">
        <v>1638</v>
      </c>
    </row>
    <row r="1527" customFormat="false" ht="13.5" hidden="false" customHeight="true" outlineLevel="0" collapsed="false">
      <c r="A1527" s="17"/>
      <c r="B1527" s="4" t="s">
        <v>1639</v>
      </c>
    </row>
    <row r="1528" customFormat="false" ht="13.5" hidden="false" customHeight="true" outlineLevel="0" collapsed="false">
      <c r="A1528" s="17"/>
      <c r="B1528" s="18" t="s">
        <v>1640</v>
      </c>
    </row>
    <row r="1529" customFormat="false" ht="13.5" hidden="false" customHeight="true" outlineLevel="0" collapsed="false">
      <c r="A1529" s="17"/>
      <c r="B1529" s="4" t="s">
        <v>1641</v>
      </c>
    </row>
    <row r="1530" customFormat="false" ht="13.5" hidden="false" customHeight="true" outlineLevel="0" collapsed="false">
      <c r="A1530" s="17"/>
      <c r="B1530" s="18" t="s">
        <v>1642</v>
      </c>
    </row>
    <row r="1531" customFormat="false" ht="13.5" hidden="false" customHeight="true" outlineLevel="0" collapsed="false">
      <c r="A1531" s="17"/>
      <c r="B1531" s="4" t="s">
        <v>1643</v>
      </c>
    </row>
    <row r="1532" customFormat="false" ht="13.5" hidden="false" customHeight="true" outlineLevel="0" collapsed="false">
      <c r="A1532" s="17"/>
      <c r="B1532" s="18" t="s">
        <v>1644</v>
      </c>
    </row>
    <row r="1533" customFormat="false" ht="27.75" hidden="false" customHeight="true" outlineLevel="0" collapsed="false">
      <c r="A1533" s="17"/>
      <c r="B1533" s="4" t="s">
        <v>1645</v>
      </c>
    </row>
    <row r="1534" customFormat="false" ht="27.75" hidden="false" customHeight="true" outlineLevel="0" collapsed="false">
      <c r="A1534" s="17"/>
      <c r="B1534" s="18" t="s">
        <v>1646</v>
      </c>
    </row>
    <row r="1535" customFormat="false" ht="13.5" hidden="false" customHeight="true" outlineLevel="0" collapsed="false">
      <c r="A1535" s="17"/>
      <c r="B1535" s="4" t="s">
        <v>1647</v>
      </c>
    </row>
    <row r="1536" customFormat="false" ht="13.5" hidden="false" customHeight="true" outlineLevel="0" collapsed="false">
      <c r="A1536" s="17"/>
      <c r="B1536" s="18" t="s">
        <v>1648</v>
      </c>
    </row>
    <row r="1537" customFormat="false" ht="13.5" hidden="false" customHeight="true" outlineLevel="0" collapsed="false">
      <c r="A1537" s="17"/>
      <c r="B1537" s="4" t="s">
        <v>1649</v>
      </c>
    </row>
    <row r="1538" customFormat="false" ht="13.5" hidden="false" customHeight="true" outlineLevel="0" collapsed="false">
      <c r="A1538" s="17"/>
      <c r="B1538" s="18" t="s">
        <v>1650</v>
      </c>
    </row>
    <row r="1539" customFormat="false" ht="13.5" hidden="false" customHeight="true" outlineLevel="0" collapsed="false">
      <c r="A1539" s="17"/>
      <c r="B1539" s="4" t="s">
        <v>1651</v>
      </c>
    </row>
    <row r="1540" customFormat="false" ht="13.5" hidden="false" customHeight="true" outlineLevel="0" collapsed="false">
      <c r="A1540" s="17"/>
      <c r="B1540" s="18" t="s">
        <v>1652</v>
      </c>
    </row>
    <row r="1541" customFormat="false" ht="13.5" hidden="false" customHeight="true" outlineLevel="0" collapsed="false">
      <c r="A1541" s="17"/>
      <c r="B1541" s="4" t="s">
        <v>1653</v>
      </c>
    </row>
    <row r="1542" customFormat="false" ht="13.5" hidden="false" customHeight="true" outlineLevel="0" collapsed="false">
      <c r="A1542" s="17"/>
      <c r="B1542" s="18" t="s">
        <v>1654</v>
      </c>
    </row>
    <row r="1543" customFormat="false" ht="13.5" hidden="false" customHeight="true" outlineLevel="0" collapsed="false">
      <c r="A1543" s="17"/>
      <c r="B1543" s="4" t="s">
        <v>1655</v>
      </c>
    </row>
    <row r="1544" customFormat="false" ht="13.5" hidden="false" customHeight="true" outlineLevel="0" collapsed="false">
      <c r="A1544" s="17"/>
      <c r="B1544" s="18" t="s">
        <v>1656</v>
      </c>
    </row>
    <row r="1545" customFormat="false" ht="13.5" hidden="false" customHeight="true" outlineLevel="0" collapsed="false">
      <c r="A1545" s="17"/>
      <c r="B1545" s="4" t="s">
        <v>1657</v>
      </c>
    </row>
    <row r="1546" customFormat="false" ht="13.5" hidden="false" customHeight="true" outlineLevel="0" collapsed="false">
      <c r="A1546" s="17"/>
      <c r="B1546" s="18" t="s">
        <v>1658</v>
      </c>
    </row>
    <row r="1547" customFormat="false" ht="13.5" hidden="false" customHeight="true" outlineLevel="0" collapsed="false">
      <c r="A1547" s="17"/>
      <c r="B1547" s="4" t="s">
        <v>1659</v>
      </c>
    </row>
    <row r="1548" customFormat="false" ht="13.5" hidden="false" customHeight="true" outlineLevel="0" collapsed="false">
      <c r="A1548" s="17"/>
      <c r="B1548" s="18" t="s">
        <v>1660</v>
      </c>
    </row>
    <row r="1549" customFormat="false" ht="13.5" hidden="false" customHeight="true" outlineLevel="0" collapsed="false">
      <c r="A1549" s="17"/>
      <c r="B1549" s="4" t="s">
        <v>1661</v>
      </c>
    </row>
    <row r="1550" customFormat="false" ht="13.5" hidden="false" customHeight="true" outlineLevel="0" collapsed="false">
      <c r="A1550" s="17"/>
      <c r="B1550" s="18" t="s">
        <v>1662</v>
      </c>
    </row>
    <row r="1551" customFormat="false" ht="27.75" hidden="false" customHeight="true" outlineLevel="0" collapsed="false">
      <c r="A1551" s="17"/>
      <c r="B1551" s="4" t="s">
        <v>1663</v>
      </c>
    </row>
    <row r="1552" customFormat="false" ht="13.5" hidden="false" customHeight="true" outlineLevel="0" collapsed="false">
      <c r="A1552" s="17"/>
      <c r="B1552" s="18" t="s">
        <v>1664</v>
      </c>
    </row>
    <row r="1553" customFormat="false" ht="13.5" hidden="false" customHeight="true" outlineLevel="0" collapsed="false">
      <c r="A1553" s="17"/>
      <c r="B1553" s="4" t="s">
        <v>1665</v>
      </c>
    </row>
    <row r="1554" customFormat="false" ht="13.5" hidden="false" customHeight="true" outlineLevel="0" collapsed="false">
      <c r="A1554" s="17"/>
      <c r="B1554" s="18" t="s">
        <v>1666</v>
      </c>
    </row>
    <row r="1555" customFormat="false" ht="13.5" hidden="false" customHeight="true" outlineLevel="0" collapsed="false">
      <c r="A1555" s="17"/>
      <c r="B1555" s="4" t="s">
        <v>1667</v>
      </c>
    </row>
    <row r="1556" customFormat="false" ht="13.5" hidden="false" customHeight="true" outlineLevel="0" collapsed="false">
      <c r="A1556" s="17"/>
      <c r="B1556" s="18" t="s">
        <v>1668</v>
      </c>
    </row>
    <row r="1557" customFormat="false" ht="13.5" hidden="false" customHeight="true" outlineLevel="0" collapsed="false">
      <c r="A1557" s="17"/>
      <c r="B1557" s="4" t="s">
        <v>1669</v>
      </c>
    </row>
    <row r="1558" customFormat="false" ht="13.5" hidden="false" customHeight="true" outlineLevel="0" collapsed="false">
      <c r="A1558" s="17"/>
      <c r="B1558" s="18" t="s">
        <v>1670</v>
      </c>
    </row>
    <row r="1559" customFormat="false" ht="13.5" hidden="false" customHeight="true" outlineLevel="0" collapsed="false">
      <c r="A1559" s="17"/>
      <c r="B1559" s="4" t="s">
        <v>1671</v>
      </c>
    </row>
    <row r="1560" customFormat="false" ht="13.5" hidden="false" customHeight="true" outlineLevel="0" collapsed="false">
      <c r="A1560" s="17"/>
      <c r="B1560" s="18" t="s">
        <v>1672</v>
      </c>
    </row>
    <row r="1561" customFormat="false" ht="13.5" hidden="false" customHeight="true" outlineLevel="0" collapsed="false">
      <c r="A1561" s="17"/>
      <c r="B1561" s="4" t="s">
        <v>1673</v>
      </c>
    </row>
    <row r="1562" customFormat="false" ht="13.5" hidden="false" customHeight="true" outlineLevel="0" collapsed="false">
      <c r="A1562" s="17"/>
      <c r="B1562" s="18" t="s">
        <v>1674</v>
      </c>
    </row>
    <row r="1563" customFormat="false" ht="13.5" hidden="false" customHeight="true" outlineLevel="0" collapsed="false">
      <c r="A1563" s="17"/>
      <c r="B1563" s="4" t="s">
        <v>1675</v>
      </c>
    </row>
    <row r="1564" customFormat="false" ht="13.5" hidden="false" customHeight="true" outlineLevel="0" collapsed="false">
      <c r="A1564" s="17"/>
      <c r="B1564" s="18" t="s">
        <v>1676</v>
      </c>
    </row>
    <row r="1565" customFormat="false" ht="13.5" hidden="false" customHeight="true" outlineLevel="0" collapsed="false">
      <c r="A1565" s="17"/>
      <c r="B1565" s="20" t="s">
        <v>1677</v>
      </c>
    </row>
    <row r="1568" customFormat="false" ht="15" hidden="false" customHeight="false" outlineLevel="0" collapsed="false">
      <c r="A1568" s="15" t="s">
        <v>235</v>
      </c>
      <c r="B1568" s="15" t="s">
        <v>1678</v>
      </c>
    </row>
    <row r="1569" customFormat="false" ht="15" hidden="false" customHeight="false" outlineLevel="0" collapsed="false">
      <c r="B1569" s="16" t="str">
        <f aca="false">HYPERLINK("#Label!G73","← Back to label (row 73)")</f>
        <v>← Back to label (row 73)</v>
      </c>
    </row>
    <row r="1570" customFormat="false" ht="55.5" hidden="false" customHeight="true" outlineLevel="0" collapsed="false">
      <c r="A1570" s="17" t="s">
        <v>24</v>
      </c>
      <c r="B1570" s="18" t="s">
        <v>1679</v>
      </c>
    </row>
    <row r="1571" customFormat="false" ht="13.5" hidden="false" customHeight="true" outlineLevel="0" collapsed="false">
      <c r="A1571" s="17" t="s">
        <v>450</v>
      </c>
      <c r="B1571" s="4" t="s">
        <v>1680</v>
      </c>
    </row>
    <row r="1572" customFormat="false" ht="13.5" hidden="false" customHeight="true" outlineLevel="0" collapsed="false">
      <c r="A1572" s="17" t="s">
        <v>452</v>
      </c>
      <c r="B1572" s="18" t="s">
        <v>1681</v>
      </c>
    </row>
    <row r="1573" customFormat="false" ht="223.5" hidden="false" customHeight="true" outlineLevel="0" collapsed="false">
      <c r="A1573" s="17" t="s">
        <v>454</v>
      </c>
      <c r="B1573" s="4" t="s">
        <v>1682</v>
      </c>
    </row>
    <row r="1574" customFormat="false" ht="13.5" hidden="false" customHeight="true" outlineLevel="0" collapsed="false">
      <c r="A1574" s="17" t="s">
        <v>456</v>
      </c>
      <c r="B1574" s="19" t="s">
        <v>457</v>
      </c>
    </row>
    <row r="1575" customFormat="false" ht="13.5" hidden="false" customHeight="true" outlineLevel="0" collapsed="false">
      <c r="A1575" s="17" t="s">
        <v>508</v>
      </c>
      <c r="B1575" s="20" t="s">
        <v>509</v>
      </c>
    </row>
    <row r="1578" customFormat="false" ht="15" hidden="false" customHeight="false" outlineLevel="0" collapsed="false">
      <c r="A1578" s="15" t="s">
        <v>238</v>
      </c>
      <c r="B1578" s="15" t="s">
        <v>1683</v>
      </c>
    </row>
    <row r="1579" customFormat="false" ht="15" hidden="false" customHeight="false" outlineLevel="0" collapsed="false">
      <c r="B1579" s="16" t="str">
        <f aca="false">HYPERLINK("#Label!G74","← Back to label (row 74)")</f>
        <v>← Back to label (row 74)</v>
      </c>
    </row>
    <row r="1580" customFormat="false" ht="13.5" hidden="false" customHeight="true" outlineLevel="0" collapsed="false">
      <c r="A1580" s="17" t="s">
        <v>24</v>
      </c>
      <c r="B1580" s="18" t="s">
        <v>240</v>
      </c>
    </row>
    <row r="1581" customFormat="false" ht="13.5" hidden="false" customHeight="true" outlineLevel="0" collapsed="false">
      <c r="A1581" s="17" t="s">
        <v>450</v>
      </c>
      <c r="B1581" s="4" t="s">
        <v>1684</v>
      </c>
    </row>
    <row r="1582" customFormat="false" ht="13.5" hidden="false" customHeight="true" outlineLevel="0" collapsed="false">
      <c r="A1582" s="17" t="s">
        <v>452</v>
      </c>
      <c r="B1582" s="18" t="s">
        <v>1685</v>
      </c>
    </row>
    <row r="1583" customFormat="false" ht="111.75" hidden="false" customHeight="true" outlineLevel="0" collapsed="false">
      <c r="A1583" s="17" t="s">
        <v>454</v>
      </c>
      <c r="B1583" s="4" t="s">
        <v>1686</v>
      </c>
    </row>
    <row r="1584" customFormat="false" ht="13.5" hidden="false" customHeight="true" outlineLevel="0" collapsed="false">
      <c r="A1584" s="17" t="s">
        <v>456</v>
      </c>
      <c r="B1584" s="19" t="s">
        <v>457</v>
      </c>
    </row>
    <row r="1585" customFormat="false" ht="13.5" hidden="false" customHeight="true" outlineLevel="0" collapsed="false">
      <c r="A1585" s="17" t="s">
        <v>514</v>
      </c>
      <c r="B1585" s="4" t="s">
        <v>1687</v>
      </c>
    </row>
    <row r="1586" customFormat="false" ht="27.75" hidden="false" customHeight="true" outlineLevel="0" collapsed="false">
      <c r="A1586" s="17"/>
      <c r="B1586" s="18" t="s">
        <v>1688</v>
      </c>
    </row>
    <row r="1589" customFormat="false" ht="15" hidden="false" customHeight="false" outlineLevel="0" collapsed="false">
      <c r="A1589" s="15" t="s">
        <v>241</v>
      </c>
      <c r="B1589" s="15" t="s">
        <v>242</v>
      </c>
    </row>
    <row r="1590" customFormat="false" ht="15" hidden="false" customHeight="false" outlineLevel="0" collapsed="false">
      <c r="B1590" s="16" t="str">
        <f aca="false">HYPERLINK("#Label!G75","← Back to label (row 75)")</f>
        <v>← Back to label (row 75)</v>
      </c>
    </row>
    <row r="1591" customFormat="false" ht="13.5" hidden="false" customHeight="true" outlineLevel="0" collapsed="false">
      <c r="A1591" s="17" t="s">
        <v>24</v>
      </c>
      <c r="B1591" s="18" t="s">
        <v>71</v>
      </c>
    </row>
    <row r="1592" customFormat="false" ht="13.5" hidden="false" customHeight="true" outlineLevel="0" collapsed="false">
      <c r="A1592" s="17" t="s">
        <v>450</v>
      </c>
      <c r="B1592" s="4" t="s">
        <v>1689</v>
      </c>
    </row>
    <row r="1593" customFormat="false" ht="13.5" hidden="false" customHeight="true" outlineLevel="0" collapsed="false">
      <c r="A1593" s="17" t="s">
        <v>454</v>
      </c>
      <c r="B1593" s="19" t="s">
        <v>486</v>
      </c>
    </row>
    <row r="1594" customFormat="false" ht="13.5" hidden="false" customHeight="true" outlineLevel="0" collapsed="false">
      <c r="A1594" s="17" t="s">
        <v>456</v>
      </c>
      <c r="B1594" s="20" t="s">
        <v>457</v>
      </c>
    </row>
    <row r="1595" customFormat="false" ht="13.5" hidden="false" customHeight="true" outlineLevel="0" collapsed="false">
      <c r="A1595" s="17" t="s">
        <v>1089</v>
      </c>
      <c r="B1595" s="18" t="s">
        <v>1690</v>
      </c>
    </row>
    <row r="1596" customFormat="false" ht="13.5" hidden="false" customHeight="true" outlineLevel="0" collapsed="false">
      <c r="A1596" s="17"/>
      <c r="B1596" s="4" t="s">
        <v>1691</v>
      </c>
    </row>
    <row r="1597" customFormat="false" ht="13.5" hidden="false" customHeight="true" outlineLevel="0" collapsed="false">
      <c r="A1597" s="17"/>
      <c r="B1597" s="18" t="s">
        <v>1692</v>
      </c>
    </row>
    <row r="1598" customFormat="false" ht="13.5" hidden="false" customHeight="true" outlineLevel="0" collapsed="false">
      <c r="A1598" s="17"/>
      <c r="B1598" s="4" t="s">
        <v>1693</v>
      </c>
    </row>
    <row r="1599" customFormat="false" ht="13.5" hidden="false" customHeight="true" outlineLevel="0" collapsed="false">
      <c r="A1599" s="17"/>
      <c r="B1599" s="18" t="s">
        <v>1694</v>
      </c>
    </row>
    <row r="1600" customFormat="false" ht="13.5" hidden="false" customHeight="true" outlineLevel="0" collapsed="false">
      <c r="A1600" s="17"/>
      <c r="B1600" s="4" t="s">
        <v>1695</v>
      </c>
    </row>
    <row r="1601" customFormat="false" ht="27.75" hidden="false" customHeight="true" outlineLevel="0" collapsed="false">
      <c r="A1601" s="17"/>
      <c r="B1601" s="18" t="s">
        <v>1696</v>
      </c>
    </row>
    <row r="1604" customFormat="false" ht="15" hidden="false" customHeight="false" outlineLevel="0" collapsed="false">
      <c r="A1604" s="15" t="s">
        <v>243</v>
      </c>
      <c r="B1604" s="15" t="s">
        <v>244</v>
      </c>
    </row>
    <row r="1605" customFormat="false" ht="15" hidden="false" customHeight="false" outlineLevel="0" collapsed="false">
      <c r="B1605" s="16" t="str">
        <f aca="false">HYPERLINK("#Label!G76","← Back to label (row 76)")</f>
        <v>← Back to label (row 76)</v>
      </c>
    </row>
    <row r="1606" customFormat="false" ht="13.5" hidden="false" customHeight="true" outlineLevel="0" collapsed="false">
      <c r="A1606" s="17" t="s">
        <v>24</v>
      </c>
      <c r="B1606" s="18" t="s">
        <v>59</v>
      </c>
    </row>
    <row r="1607" customFormat="false" ht="13.5" hidden="false" customHeight="true" outlineLevel="0" collapsed="false">
      <c r="A1607" s="17" t="s">
        <v>450</v>
      </c>
      <c r="B1607" s="4" t="s">
        <v>1697</v>
      </c>
    </row>
    <row r="1608" customFormat="false" ht="13.5" hidden="false" customHeight="true" outlineLevel="0" collapsed="false">
      <c r="A1608" s="17" t="s">
        <v>452</v>
      </c>
      <c r="B1608" s="18" t="s">
        <v>1698</v>
      </c>
    </row>
    <row r="1609" customFormat="false" ht="13.5" hidden="false" customHeight="true" outlineLevel="0" collapsed="false">
      <c r="A1609" s="17" t="s">
        <v>454</v>
      </c>
      <c r="B1609" s="20" t="s">
        <v>486</v>
      </c>
    </row>
    <row r="1610" customFormat="false" ht="13.5" hidden="false" customHeight="true" outlineLevel="0" collapsed="false">
      <c r="A1610" s="17" t="s">
        <v>456</v>
      </c>
      <c r="B1610" s="19" t="s">
        <v>457</v>
      </c>
    </row>
    <row r="1611" customFormat="false" ht="13.5" hidden="false" customHeight="true" outlineLevel="0" collapsed="false">
      <c r="A1611" s="17" t="s">
        <v>514</v>
      </c>
      <c r="B1611" s="4" t="s">
        <v>1699</v>
      </c>
    </row>
    <row r="1612" customFormat="false" ht="13.5" hidden="false" customHeight="true" outlineLevel="0" collapsed="false">
      <c r="A1612" s="17"/>
      <c r="B1612" s="18" t="s">
        <v>1700</v>
      </c>
    </row>
    <row r="1615" customFormat="false" ht="15" hidden="false" customHeight="false" outlineLevel="0" collapsed="false">
      <c r="A1615" s="15" t="s">
        <v>245</v>
      </c>
      <c r="B1615" s="15" t="s">
        <v>1701</v>
      </c>
    </row>
    <row r="1616" customFormat="false" ht="15" hidden="false" customHeight="false" outlineLevel="0" collapsed="false">
      <c r="B1616" s="16" t="str">
        <f aca="false">HYPERLINK("#Label!G77","← Back to label (row 77)")</f>
        <v>← Back to label (row 77)</v>
      </c>
    </row>
    <row r="1617" customFormat="false" ht="13.5" hidden="false" customHeight="true" outlineLevel="0" collapsed="false">
      <c r="A1617" s="17" t="s">
        <v>24</v>
      </c>
      <c r="B1617" s="18" t="s">
        <v>49</v>
      </c>
    </row>
    <row r="1618" customFormat="false" ht="13.5" hidden="false" customHeight="true" outlineLevel="0" collapsed="false">
      <c r="A1618" s="17" t="s">
        <v>450</v>
      </c>
      <c r="B1618" s="4" t="s">
        <v>1702</v>
      </c>
    </row>
    <row r="1619" customFormat="false" ht="13.5" hidden="false" customHeight="true" outlineLevel="0" collapsed="false">
      <c r="A1619" s="17" t="s">
        <v>454</v>
      </c>
      <c r="B1619" s="19" t="s">
        <v>486</v>
      </c>
    </row>
    <row r="1620" customFormat="false" ht="13.5" hidden="false" customHeight="true" outlineLevel="0" collapsed="false">
      <c r="A1620" s="17" t="s">
        <v>456</v>
      </c>
      <c r="B1620" s="20" t="s">
        <v>457</v>
      </c>
    </row>
    <row r="1621" customFormat="false" ht="13.5" hidden="false" customHeight="true" outlineLevel="0" collapsed="false">
      <c r="A1621" s="17" t="s">
        <v>1703</v>
      </c>
      <c r="B1621" s="18" t="s">
        <v>1704</v>
      </c>
    </row>
    <row r="1622" customFormat="false" ht="13.5" hidden="false" customHeight="true" outlineLevel="0" collapsed="false">
      <c r="A1622" s="17"/>
      <c r="B1622" s="4" t="s">
        <v>1705</v>
      </c>
    </row>
    <row r="1623" customFormat="false" ht="13.5" hidden="false" customHeight="true" outlineLevel="0" collapsed="false">
      <c r="A1623" s="17"/>
      <c r="B1623" s="18" t="s">
        <v>1706</v>
      </c>
    </row>
    <row r="1624" customFormat="false" ht="27.75" hidden="false" customHeight="true" outlineLevel="0" collapsed="false">
      <c r="A1624" s="17"/>
      <c r="B1624" s="4" t="s">
        <v>1707</v>
      </c>
    </row>
    <row r="1625" customFormat="false" ht="13.5" hidden="false" customHeight="true" outlineLevel="0" collapsed="false">
      <c r="A1625" s="17"/>
      <c r="B1625" s="18" t="s">
        <v>1708</v>
      </c>
    </row>
    <row r="1626" customFormat="false" ht="13.5" hidden="false" customHeight="true" outlineLevel="0" collapsed="false">
      <c r="A1626" s="17"/>
      <c r="B1626" s="4" t="s">
        <v>1709</v>
      </c>
    </row>
    <row r="1627" customFormat="false" ht="13.5" hidden="false" customHeight="true" outlineLevel="0" collapsed="false">
      <c r="A1627" s="17"/>
      <c r="B1627" s="18" t="s">
        <v>1710</v>
      </c>
    </row>
    <row r="1628" customFormat="false" ht="13.5" hidden="false" customHeight="true" outlineLevel="0" collapsed="false">
      <c r="A1628" s="17"/>
      <c r="B1628" s="4" t="s">
        <v>1711</v>
      </c>
    </row>
    <row r="1629" customFormat="false" ht="13.5" hidden="false" customHeight="true" outlineLevel="0" collapsed="false">
      <c r="A1629" s="17"/>
      <c r="B1629" s="18" t="s">
        <v>1712</v>
      </c>
    </row>
    <row r="1630" customFormat="false" ht="13.5" hidden="false" customHeight="true" outlineLevel="0" collapsed="false">
      <c r="A1630" s="17"/>
      <c r="B1630" s="4" t="s">
        <v>1713</v>
      </c>
    </row>
    <row r="1631" customFormat="false" ht="13.5" hidden="false" customHeight="true" outlineLevel="0" collapsed="false">
      <c r="A1631" s="17"/>
      <c r="B1631" s="18" t="s">
        <v>1714</v>
      </c>
    </row>
    <row r="1632" customFormat="false" ht="13.5" hidden="false" customHeight="true" outlineLevel="0" collapsed="false">
      <c r="A1632" s="17"/>
      <c r="B1632" s="4" t="s">
        <v>1715</v>
      </c>
    </row>
    <row r="1633" customFormat="false" ht="13.5" hidden="false" customHeight="true" outlineLevel="0" collapsed="false">
      <c r="A1633" s="17"/>
      <c r="B1633" s="18" t="s">
        <v>1716</v>
      </c>
    </row>
    <row r="1634" customFormat="false" ht="27.75" hidden="false" customHeight="true" outlineLevel="0" collapsed="false">
      <c r="A1634" s="17"/>
      <c r="B1634" s="4" t="s">
        <v>1717</v>
      </c>
    </row>
    <row r="1635" customFormat="false" ht="27.75" hidden="false" customHeight="true" outlineLevel="0" collapsed="false">
      <c r="A1635" s="17"/>
      <c r="B1635" s="18" t="s">
        <v>1718</v>
      </c>
    </row>
    <row r="1636" customFormat="false" ht="27.75" hidden="false" customHeight="true" outlineLevel="0" collapsed="false">
      <c r="A1636" s="17"/>
      <c r="B1636" s="4" t="s">
        <v>1719</v>
      </c>
    </row>
    <row r="1637" customFormat="false" ht="27.75" hidden="false" customHeight="true" outlineLevel="0" collapsed="false">
      <c r="A1637" s="17"/>
      <c r="B1637" s="18" t="s">
        <v>1720</v>
      </c>
    </row>
    <row r="1638" customFormat="false" ht="27.75" hidden="false" customHeight="true" outlineLevel="0" collapsed="false">
      <c r="A1638" s="17"/>
      <c r="B1638" s="4" t="s">
        <v>1721</v>
      </c>
    </row>
    <row r="1639" customFormat="false" ht="13.5" hidden="false" customHeight="true" outlineLevel="0" collapsed="false">
      <c r="A1639" s="17"/>
      <c r="B1639" s="18" t="s">
        <v>1722</v>
      </c>
    </row>
    <row r="1640" customFormat="false" ht="13.5" hidden="false" customHeight="true" outlineLevel="0" collapsed="false">
      <c r="A1640" s="17"/>
      <c r="B1640" s="4" t="s">
        <v>1723</v>
      </c>
    </row>
    <row r="1641" customFormat="false" ht="27.75" hidden="false" customHeight="true" outlineLevel="0" collapsed="false">
      <c r="A1641" s="17"/>
      <c r="B1641" s="18" t="s">
        <v>1724</v>
      </c>
    </row>
    <row r="1642" customFormat="false" ht="13.5" hidden="false" customHeight="true" outlineLevel="0" collapsed="false">
      <c r="A1642" s="17"/>
      <c r="B1642" s="4" t="s">
        <v>1725</v>
      </c>
    </row>
    <row r="1643" customFormat="false" ht="27.75" hidden="false" customHeight="true" outlineLevel="0" collapsed="false">
      <c r="A1643" s="17"/>
      <c r="B1643" s="18" t="s">
        <v>1726</v>
      </c>
    </row>
    <row r="1644" customFormat="false" ht="27.75" hidden="false" customHeight="true" outlineLevel="0" collapsed="false">
      <c r="A1644" s="17"/>
      <c r="B1644" s="4" t="s">
        <v>1727</v>
      </c>
    </row>
    <row r="1645" customFormat="false" ht="27.75" hidden="false" customHeight="true" outlineLevel="0" collapsed="false">
      <c r="A1645" s="17"/>
      <c r="B1645" s="18" t="s">
        <v>1728</v>
      </c>
    </row>
    <row r="1646" customFormat="false" ht="13.5" hidden="false" customHeight="true" outlineLevel="0" collapsed="false">
      <c r="A1646" s="17"/>
      <c r="B1646" s="4" t="s">
        <v>1729</v>
      </c>
    </row>
    <row r="1647" customFormat="false" ht="13.5" hidden="false" customHeight="true" outlineLevel="0" collapsed="false">
      <c r="A1647" s="17"/>
      <c r="B1647" s="18" t="s">
        <v>1730</v>
      </c>
    </row>
    <row r="1648" customFormat="false" ht="13.5" hidden="false" customHeight="true" outlineLevel="0" collapsed="false">
      <c r="A1648" s="17"/>
      <c r="B1648" s="4" t="s">
        <v>1731</v>
      </c>
    </row>
    <row r="1649" customFormat="false" ht="13.5" hidden="false" customHeight="true" outlineLevel="0" collapsed="false">
      <c r="A1649" s="17"/>
      <c r="B1649" s="18" t="s">
        <v>1732</v>
      </c>
    </row>
    <row r="1650" customFormat="false" ht="13.5" hidden="false" customHeight="true" outlineLevel="0" collapsed="false">
      <c r="A1650" s="17"/>
      <c r="B1650" s="4" t="s">
        <v>1733</v>
      </c>
    </row>
    <row r="1651" customFormat="false" ht="13.5" hidden="false" customHeight="true" outlineLevel="0" collapsed="false">
      <c r="A1651" s="17"/>
      <c r="B1651" s="18" t="s">
        <v>1734</v>
      </c>
    </row>
    <row r="1652" customFormat="false" ht="13.5" hidden="false" customHeight="true" outlineLevel="0" collapsed="false">
      <c r="A1652" s="17"/>
      <c r="B1652" s="4" t="s">
        <v>1735</v>
      </c>
    </row>
    <row r="1653" customFormat="false" ht="13.5" hidden="false" customHeight="true" outlineLevel="0" collapsed="false">
      <c r="A1653" s="17"/>
      <c r="B1653" s="18" t="s">
        <v>1736</v>
      </c>
    </row>
    <row r="1654" customFormat="false" ht="13.5" hidden="false" customHeight="true" outlineLevel="0" collapsed="false">
      <c r="A1654" s="17"/>
      <c r="B1654" s="4" t="s">
        <v>1737</v>
      </c>
    </row>
    <row r="1655" customFormat="false" ht="13.5" hidden="false" customHeight="true" outlineLevel="0" collapsed="false">
      <c r="A1655" s="17"/>
      <c r="B1655" s="18" t="s">
        <v>1738</v>
      </c>
    </row>
    <row r="1656" customFormat="false" ht="13.5" hidden="false" customHeight="true" outlineLevel="0" collapsed="false">
      <c r="A1656" s="17"/>
      <c r="B1656" s="4" t="s">
        <v>1739</v>
      </c>
    </row>
    <row r="1657" customFormat="false" ht="13.5" hidden="false" customHeight="true" outlineLevel="0" collapsed="false">
      <c r="A1657" s="17"/>
      <c r="B1657" s="18" t="s">
        <v>1740</v>
      </c>
    </row>
    <row r="1658" customFormat="false" ht="13.5" hidden="false" customHeight="true" outlineLevel="0" collapsed="false">
      <c r="A1658" s="17"/>
      <c r="B1658" s="4" t="s">
        <v>1741</v>
      </c>
    </row>
    <row r="1659" customFormat="false" ht="13.5" hidden="false" customHeight="true" outlineLevel="0" collapsed="false">
      <c r="A1659" s="17"/>
      <c r="B1659" s="18" t="s">
        <v>1742</v>
      </c>
    </row>
    <row r="1660" customFormat="false" ht="13.5" hidden="false" customHeight="true" outlineLevel="0" collapsed="false">
      <c r="A1660" s="17"/>
      <c r="B1660" s="4" t="s">
        <v>1743</v>
      </c>
    </row>
    <row r="1661" customFormat="false" ht="13.5" hidden="false" customHeight="true" outlineLevel="0" collapsed="false">
      <c r="A1661" s="17"/>
      <c r="B1661" s="18" t="s">
        <v>1744</v>
      </c>
    </row>
    <row r="1662" customFormat="false" ht="13.5" hidden="false" customHeight="true" outlineLevel="0" collapsed="false">
      <c r="A1662" s="17"/>
      <c r="B1662" s="4" t="s">
        <v>1745</v>
      </c>
    </row>
    <row r="1663" customFormat="false" ht="13.5" hidden="false" customHeight="true" outlineLevel="0" collapsed="false">
      <c r="A1663" s="17"/>
      <c r="B1663" s="18" t="s">
        <v>1746</v>
      </c>
    </row>
    <row r="1664" customFormat="false" ht="13.5" hidden="false" customHeight="true" outlineLevel="0" collapsed="false">
      <c r="A1664" s="17"/>
      <c r="B1664" s="4" t="s">
        <v>1747</v>
      </c>
    </row>
    <row r="1665" customFormat="false" ht="13.5" hidden="false" customHeight="true" outlineLevel="0" collapsed="false">
      <c r="A1665" s="17"/>
      <c r="B1665" s="18" t="s">
        <v>1748</v>
      </c>
    </row>
    <row r="1666" customFormat="false" ht="27.75" hidden="false" customHeight="true" outlineLevel="0" collapsed="false">
      <c r="A1666" s="17"/>
      <c r="B1666" s="4" t="s">
        <v>1749</v>
      </c>
    </row>
    <row r="1667" customFormat="false" ht="13.5" hidden="false" customHeight="true" outlineLevel="0" collapsed="false">
      <c r="A1667" s="17"/>
      <c r="B1667" s="18" t="s">
        <v>1750</v>
      </c>
    </row>
    <row r="1668" customFormat="false" ht="13.5" hidden="false" customHeight="true" outlineLevel="0" collapsed="false">
      <c r="A1668" s="17"/>
      <c r="B1668" s="4" t="s">
        <v>1751</v>
      </c>
    </row>
    <row r="1669" customFormat="false" ht="13.5" hidden="false" customHeight="true" outlineLevel="0" collapsed="false">
      <c r="A1669" s="17"/>
      <c r="B1669" s="18" t="s">
        <v>1752</v>
      </c>
    </row>
    <row r="1670" customFormat="false" ht="13.5" hidden="false" customHeight="true" outlineLevel="0" collapsed="false">
      <c r="A1670" s="17"/>
      <c r="B1670" s="4" t="s">
        <v>1753</v>
      </c>
    </row>
    <row r="1671" customFormat="false" ht="13.5" hidden="false" customHeight="true" outlineLevel="0" collapsed="false">
      <c r="A1671" s="17"/>
      <c r="B1671" s="18" t="s">
        <v>1754</v>
      </c>
    </row>
    <row r="1674" customFormat="false" ht="15" hidden="false" customHeight="false" outlineLevel="0" collapsed="false">
      <c r="A1674" s="15" t="s">
        <v>247</v>
      </c>
      <c r="B1674" s="15" t="s">
        <v>1755</v>
      </c>
    </row>
    <row r="1675" customFormat="false" ht="15" hidden="false" customHeight="false" outlineLevel="0" collapsed="false">
      <c r="B1675" s="16" t="str">
        <f aca="false">HYPERLINK("#Label!G78","← Back to label (row 78)")</f>
        <v>← Back to label (row 78)</v>
      </c>
    </row>
    <row r="1676" customFormat="false" ht="13.5" hidden="false" customHeight="true" outlineLevel="0" collapsed="false">
      <c r="A1676" s="17" t="s">
        <v>24</v>
      </c>
      <c r="B1676" s="18" t="s">
        <v>240</v>
      </c>
    </row>
    <row r="1677" customFormat="false" ht="13.5" hidden="false" customHeight="true" outlineLevel="0" collapsed="false">
      <c r="A1677" s="17" t="s">
        <v>450</v>
      </c>
      <c r="B1677" s="4" t="s">
        <v>1756</v>
      </c>
    </row>
    <row r="1678" customFormat="false" ht="13.5" hidden="false" customHeight="true" outlineLevel="0" collapsed="false">
      <c r="A1678" s="17" t="s">
        <v>452</v>
      </c>
      <c r="B1678" s="18" t="s">
        <v>1757</v>
      </c>
    </row>
    <row r="1679" customFormat="false" ht="210" hidden="false" customHeight="true" outlineLevel="0" collapsed="false">
      <c r="A1679" s="17" t="s">
        <v>454</v>
      </c>
      <c r="B1679" s="4" t="s">
        <v>1758</v>
      </c>
    </row>
    <row r="1680" customFormat="false" ht="13.5" hidden="false" customHeight="true" outlineLevel="0" collapsed="false">
      <c r="A1680" s="17" t="s">
        <v>456</v>
      </c>
      <c r="B1680" s="19" t="s">
        <v>457</v>
      </c>
    </row>
    <row r="1681" customFormat="false" ht="13.5" hidden="false" customHeight="true" outlineLevel="0" collapsed="false">
      <c r="A1681" s="17" t="s">
        <v>1759</v>
      </c>
      <c r="B1681" s="4" t="s">
        <v>1760</v>
      </c>
    </row>
    <row r="1682" customFormat="false" ht="13.5" hidden="false" customHeight="true" outlineLevel="0" collapsed="false">
      <c r="A1682" s="17"/>
      <c r="B1682" s="18" t="s">
        <v>1761</v>
      </c>
    </row>
    <row r="1683" customFormat="false" ht="13.5" hidden="false" customHeight="true" outlineLevel="0" collapsed="false">
      <c r="A1683" s="17"/>
      <c r="B1683" s="4" t="s">
        <v>1762</v>
      </c>
    </row>
    <row r="1684" customFormat="false" ht="27.75" hidden="false" customHeight="true" outlineLevel="0" collapsed="false">
      <c r="A1684" s="17"/>
      <c r="B1684" s="18" t="s">
        <v>1763</v>
      </c>
    </row>
    <row r="1685" customFormat="false" ht="13.5" hidden="false" customHeight="true" outlineLevel="0" collapsed="false">
      <c r="A1685" s="17"/>
      <c r="B1685" s="4" t="s">
        <v>1764</v>
      </c>
    </row>
    <row r="1686" customFormat="false" ht="27.75" hidden="false" customHeight="true" outlineLevel="0" collapsed="false">
      <c r="A1686" s="17"/>
      <c r="B1686" s="18" t="s">
        <v>1765</v>
      </c>
    </row>
    <row r="1687" customFormat="false" ht="27.75" hidden="false" customHeight="true" outlineLevel="0" collapsed="false">
      <c r="A1687" s="17"/>
      <c r="B1687" s="4" t="s">
        <v>1766</v>
      </c>
    </row>
    <row r="1688" customFormat="false" ht="27.75" hidden="false" customHeight="true" outlineLevel="0" collapsed="false">
      <c r="A1688" s="17"/>
      <c r="B1688" s="18" t="s">
        <v>1767</v>
      </c>
    </row>
    <row r="1689" customFormat="false" ht="27.75" hidden="false" customHeight="true" outlineLevel="0" collapsed="false">
      <c r="A1689" s="17"/>
      <c r="B1689" s="4" t="s">
        <v>1768</v>
      </c>
    </row>
    <row r="1690" customFormat="false" ht="13.5" hidden="false" customHeight="true" outlineLevel="0" collapsed="false">
      <c r="A1690" s="17"/>
      <c r="B1690" s="18" t="s">
        <v>1769</v>
      </c>
    </row>
    <row r="1691" customFormat="false" ht="13.5" hidden="false" customHeight="true" outlineLevel="0" collapsed="false">
      <c r="A1691" s="17"/>
      <c r="B1691" s="4" t="s">
        <v>1770</v>
      </c>
    </row>
    <row r="1692" customFormat="false" ht="13.5" hidden="false" customHeight="true" outlineLevel="0" collapsed="false">
      <c r="A1692" s="17"/>
      <c r="B1692" s="18" t="s">
        <v>1771</v>
      </c>
    </row>
    <row r="1693" customFormat="false" ht="27.75" hidden="false" customHeight="true" outlineLevel="0" collapsed="false">
      <c r="A1693" s="17"/>
      <c r="B1693" s="4" t="s">
        <v>1772</v>
      </c>
    </row>
    <row r="1694" customFormat="false" ht="13.5" hidden="false" customHeight="true" outlineLevel="0" collapsed="false">
      <c r="A1694" s="17"/>
      <c r="B1694" s="18" t="s">
        <v>1773</v>
      </c>
    </row>
    <row r="1695" customFormat="false" ht="27.75" hidden="false" customHeight="true" outlineLevel="0" collapsed="false">
      <c r="A1695" s="17"/>
      <c r="B1695" s="4" t="s">
        <v>1774</v>
      </c>
    </row>
    <row r="1696" customFormat="false" ht="13.5" hidden="false" customHeight="true" outlineLevel="0" collapsed="false">
      <c r="A1696" s="17"/>
      <c r="B1696" s="18" t="s">
        <v>1775</v>
      </c>
    </row>
    <row r="1697" customFormat="false" ht="13.5" hidden="false" customHeight="true" outlineLevel="0" collapsed="false">
      <c r="A1697" s="17"/>
      <c r="B1697" s="4" t="s">
        <v>1776</v>
      </c>
    </row>
    <row r="1698" customFormat="false" ht="27.75" hidden="false" customHeight="true" outlineLevel="0" collapsed="false">
      <c r="A1698" s="17"/>
      <c r="B1698" s="18" t="s">
        <v>1777</v>
      </c>
    </row>
    <row r="1699" customFormat="false" ht="13.5" hidden="false" customHeight="true" outlineLevel="0" collapsed="false">
      <c r="A1699" s="17"/>
      <c r="B1699" s="4" t="s">
        <v>1778</v>
      </c>
    </row>
    <row r="1700" customFormat="false" ht="13.5" hidden="false" customHeight="true" outlineLevel="0" collapsed="false">
      <c r="A1700" s="17"/>
      <c r="B1700" s="18" t="s">
        <v>1779</v>
      </c>
    </row>
    <row r="1701" customFormat="false" ht="27.75" hidden="false" customHeight="true" outlineLevel="0" collapsed="false">
      <c r="A1701" s="17"/>
      <c r="B1701" s="4" t="s">
        <v>1780</v>
      </c>
    </row>
    <row r="1702" customFormat="false" ht="13.5" hidden="false" customHeight="true" outlineLevel="0" collapsed="false">
      <c r="A1702" s="17"/>
      <c r="B1702" s="18" t="s">
        <v>1781</v>
      </c>
    </row>
    <row r="1703" customFormat="false" ht="13.5" hidden="false" customHeight="true" outlineLevel="0" collapsed="false">
      <c r="A1703" s="17"/>
      <c r="B1703" s="4" t="s">
        <v>1782</v>
      </c>
    </row>
    <row r="1704" customFormat="false" ht="13.5" hidden="false" customHeight="true" outlineLevel="0" collapsed="false">
      <c r="A1704" s="17"/>
      <c r="B1704" s="18" t="s">
        <v>1783</v>
      </c>
    </row>
    <row r="1705" customFormat="false" ht="27.75" hidden="false" customHeight="true" outlineLevel="0" collapsed="false">
      <c r="A1705" s="17"/>
      <c r="B1705" s="4" t="s">
        <v>1784</v>
      </c>
    </row>
    <row r="1706" customFormat="false" ht="27.75" hidden="false" customHeight="true" outlineLevel="0" collapsed="false">
      <c r="A1706" s="17"/>
      <c r="B1706" s="18" t="s">
        <v>1785</v>
      </c>
    </row>
    <row r="1707" customFormat="false" ht="27.75" hidden="false" customHeight="true" outlineLevel="0" collapsed="false">
      <c r="A1707" s="17"/>
      <c r="B1707" s="4" t="s">
        <v>1786</v>
      </c>
    </row>
    <row r="1708" customFormat="false" ht="13.5" hidden="false" customHeight="true" outlineLevel="0" collapsed="false">
      <c r="A1708" s="17"/>
      <c r="B1708" s="18" t="s">
        <v>1787</v>
      </c>
    </row>
    <row r="1709" customFormat="false" ht="13.5" hidden="false" customHeight="true" outlineLevel="0" collapsed="false">
      <c r="A1709" s="17"/>
      <c r="B1709" s="4" t="s">
        <v>1788</v>
      </c>
    </row>
    <row r="1710" customFormat="false" ht="27.75" hidden="false" customHeight="true" outlineLevel="0" collapsed="false">
      <c r="A1710" s="17"/>
      <c r="B1710" s="18" t="s">
        <v>1789</v>
      </c>
    </row>
    <row r="1711" customFormat="false" ht="13.5" hidden="false" customHeight="true" outlineLevel="0" collapsed="false">
      <c r="A1711" s="17"/>
      <c r="B1711" s="4" t="s">
        <v>1790</v>
      </c>
    </row>
    <row r="1712" customFormat="false" ht="13.5" hidden="false" customHeight="true" outlineLevel="0" collapsed="false">
      <c r="A1712" s="17"/>
      <c r="B1712" s="18" t="s">
        <v>1791</v>
      </c>
    </row>
    <row r="1713" customFormat="false" ht="13.5" hidden="false" customHeight="true" outlineLevel="0" collapsed="false">
      <c r="A1713" s="17"/>
      <c r="B1713" s="4" t="s">
        <v>1792</v>
      </c>
    </row>
    <row r="1714" customFormat="false" ht="13.5" hidden="false" customHeight="true" outlineLevel="0" collapsed="false">
      <c r="A1714" s="17"/>
      <c r="B1714" s="18" t="s">
        <v>1793</v>
      </c>
    </row>
    <row r="1715" customFormat="false" ht="13.5" hidden="false" customHeight="true" outlineLevel="0" collapsed="false">
      <c r="A1715" s="17"/>
      <c r="B1715" s="4" t="s">
        <v>1794</v>
      </c>
    </row>
    <row r="1716" customFormat="false" ht="13.5" hidden="false" customHeight="true" outlineLevel="0" collapsed="false">
      <c r="A1716" s="17"/>
      <c r="B1716" s="18" t="s">
        <v>1795</v>
      </c>
    </row>
    <row r="1717" customFormat="false" ht="13.5" hidden="false" customHeight="true" outlineLevel="0" collapsed="false">
      <c r="A1717" s="17"/>
      <c r="B1717" s="4" t="s">
        <v>1796</v>
      </c>
    </row>
    <row r="1720" customFormat="false" ht="15" hidden="false" customHeight="false" outlineLevel="0" collapsed="false">
      <c r="A1720" s="15" t="s">
        <v>249</v>
      </c>
      <c r="B1720" s="15" t="s">
        <v>1797</v>
      </c>
    </row>
    <row r="1721" customFormat="false" ht="15" hidden="false" customHeight="false" outlineLevel="0" collapsed="false">
      <c r="B1721" s="16" t="str">
        <f aca="false">HYPERLINK("#Label!G79","← Back to label (row 79)")</f>
        <v>← Back to label (row 79)</v>
      </c>
    </row>
    <row r="1722" customFormat="false" ht="42" hidden="false" customHeight="true" outlineLevel="0" collapsed="false">
      <c r="A1722" s="17" t="s">
        <v>24</v>
      </c>
      <c r="B1722" s="18" t="s">
        <v>251</v>
      </c>
    </row>
    <row r="1723" customFormat="false" ht="13.5" hidden="false" customHeight="true" outlineLevel="0" collapsed="false">
      <c r="A1723" s="17" t="s">
        <v>450</v>
      </c>
      <c r="B1723" s="4" t="s">
        <v>1798</v>
      </c>
    </row>
    <row r="1724" customFormat="false" ht="13.5" hidden="false" customHeight="true" outlineLevel="0" collapsed="false">
      <c r="A1724" s="17" t="s">
        <v>452</v>
      </c>
      <c r="B1724" s="18" t="s">
        <v>1799</v>
      </c>
    </row>
    <row r="1725" customFormat="false" ht="252" hidden="false" customHeight="true" outlineLevel="0" collapsed="false">
      <c r="A1725" s="17" t="s">
        <v>454</v>
      </c>
      <c r="B1725" s="4" t="s">
        <v>1800</v>
      </c>
    </row>
    <row r="1726" customFormat="false" ht="13.5" hidden="false" customHeight="true" outlineLevel="0" collapsed="false">
      <c r="A1726" s="17" t="s">
        <v>456</v>
      </c>
      <c r="B1726" s="19" t="s">
        <v>457</v>
      </c>
    </row>
    <row r="1727" customFormat="false" ht="13.5" hidden="false" customHeight="true" outlineLevel="0" collapsed="false">
      <c r="A1727" s="17" t="s">
        <v>487</v>
      </c>
      <c r="B1727" s="4" t="s">
        <v>1801</v>
      </c>
    </row>
    <row r="1728" customFormat="false" ht="13.5" hidden="false" customHeight="true" outlineLevel="0" collapsed="false">
      <c r="A1728" s="17"/>
      <c r="B1728" s="18" t="s">
        <v>1802</v>
      </c>
    </row>
    <row r="1729" customFormat="false" ht="13.5" hidden="false" customHeight="true" outlineLevel="0" collapsed="false">
      <c r="A1729" s="17"/>
      <c r="B1729" s="4" t="s">
        <v>1803</v>
      </c>
    </row>
    <row r="1730" customFormat="false" ht="13.5" hidden="false" customHeight="true" outlineLevel="0" collapsed="false">
      <c r="A1730" s="17"/>
      <c r="B1730" s="18" t="s">
        <v>1804</v>
      </c>
    </row>
    <row r="1731" customFormat="false" ht="13.5" hidden="false" customHeight="true" outlineLevel="0" collapsed="false">
      <c r="A1731" s="17"/>
      <c r="B1731" s="4" t="s">
        <v>1805</v>
      </c>
    </row>
    <row r="1732" customFormat="false" ht="13.5" hidden="false" customHeight="true" outlineLevel="0" collapsed="false">
      <c r="A1732" s="17"/>
      <c r="B1732" s="18" t="s">
        <v>1806</v>
      </c>
    </row>
    <row r="1733" customFormat="false" ht="13.5" hidden="false" customHeight="true" outlineLevel="0" collapsed="false">
      <c r="A1733" s="17"/>
      <c r="B1733" s="4" t="s">
        <v>1807</v>
      </c>
    </row>
    <row r="1734" customFormat="false" ht="13.5" hidden="false" customHeight="true" outlineLevel="0" collapsed="false">
      <c r="A1734" s="17"/>
      <c r="B1734" s="18" t="s">
        <v>1808</v>
      </c>
    </row>
    <row r="1735" customFormat="false" ht="13.5" hidden="false" customHeight="true" outlineLevel="0" collapsed="false">
      <c r="A1735" s="17"/>
      <c r="B1735" s="4" t="s">
        <v>1809</v>
      </c>
    </row>
    <row r="1736" customFormat="false" ht="13.5" hidden="false" customHeight="true" outlineLevel="0" collapsed="false">
      <c r="A1736" s="17"/>
      <c r="B1736" s="18" t="s">
        <v>1810</v>
      </c>
    </row>
    <row r="1739" customFormat="false" ht="15" hidden="false" customHeight="false" outlineLevel="0" collapsed="false">
      <c r="A1739" s="15" t="s">
        <v>252</v>
      </c>
      <c r="B1739" s="15" t="s">
        <v>1811</v>
      </c>
    </row>
    <row r="1740" customFormat="false" ht="15" hidden="false" customHeight="false" outlineLevel="0" collapsed="false">
      <c r="B1740" s="16" t="str">
        <f aca="false">HYPERLINK("#Label!G80","← Back to label (row 80)")</f>
        <v>← Back to label (row 80)</v>
      </c>
    </row>
    <row r="1741" customFormat="false" ht="13.5" hidden="false" customHeight="true" outlineLevel="0" collapsed="false">
      <c r="A1741" s="17" t="s">
        <v>24</v>
      </c>
      <c r="B1741" s="18" t="s">
        <v>201</v>
      </c>
    </row>
    <row r="1742" customFormat="false" ht="13.5" hidden="false" customHeight="true" outlineLevel="0" collapsed="false">
      <c r="A1742" s="17" t="s">
        <v>450</v>
      </c>
      <c r="B1742" s="4" t="s">
        <v>1812</v>
      </c>
    </row>
    <row r="1743" customFormat="false" ht="13.5" hidden="false" customHeight="true" outlineLevel="0" collapsed="false">
      <c r="A1743" s="17" t="s">
        <v>452</v>
      </c>
      <c r="B1743" s="18" t="s">
        <v>1813</v>
      </c>
    </row>
    <row r="1744" customFormat="false" ht="42" hidden="false" customHeight="true" outlineLevel="0" collapsed="false">
      <c r="A1744" s="17" t="s">
        <v>454</v>
      </c>
      <c r="B1744" s="4" t="s">
        <v>1814</v>
      </c>
    </row>
    <row r="1745" customFormat="false" ht="13.5" hidden="false" customHeight="true" outlineLevel="0" collapsed="false">
      <c r="A1745" s="17" t="s">
        <v>456</v>
      </c>
      <c r="B1745" s="19" t="s">
        <v>457</v>
      </c>
    </row>
    <row r="1746" customFormat="false" ht="13.5" hidden="false" customHeight="true" outlineLevel="0" collapsed="false">
      <c r="A1746" s="17" t="s">
        <v>519</v>
      </c>
      <c r="B1746" s="4" t="s">
        <v>1815</v>
      </c>
    </row>
    <row r="1749" customFormat="false" ht="15" hidden="false" customHeight="false" outlineLevel="0" collapsed="false">
      <c r="A1749" s="15" t="s">
        <v>255</v>
      </c>
      <c r="B1749" s="15" t="s">
        <v>1816</v>
      </c>
    </row>
    <row r="1750" customFormat="false" ht="15" hidden="false" customHeight="false" outlineLevel="0" collapsed="false">
      <c r="B1750" s="16" t="str">
        <f aca="false">HYPERLINK("#Label!G81","← Back to label (row 81)")</f>
        <v>← Back to label (row 81)</v>
      </c>
    </row>
    <row r="1751" customFormat="false" ht="13.5" hidden="false" customHeight="true" outlineLevel="0" collapsed="false">
      <c r="A1751" s="17" t="s">
        <v>24</v>
      </c>
      <c r="B1751" s="18" t="s">
        <v>153</v>
      </c>
    </row>
    <row r="1752" customFormat="false" ht="13.5" hidden="false" customHeight="true" outlineLevel="0" collapsed="false">
      <c r="A1752" s="17" t="s">
        <v>450</v>
      </c>
      <c r="B1752" s="4" t="s">
        <v>1817</v>
      </c>
    </row>
    <row r="1753" customFormat="false" ht="13.5" hidden="false" customHeight="true" outlineLevel="0" collapsed="false">
      <c r="A1753" s="17" t="s">
        <v>454</v>
      </c>
      <c r="B1753" s="19" t="s">
        <v>486</v>
      </c>
    </row>
    <row r="1754" customFormat="false" ht="13.5" hidden="false" customHeight="true" outlineLevel="0" collapsed="false">
      <c r="A1754" s="17" t="s">
        <v>456</v>
      </c>
      <c r="B1754" s="20" t="s">
        <v>457</v>
      </c>
    </row>
    <row r="1755" customFormat="false" ht="27.75" hidden="false" customHeight="true" outlineLevel="0" collapsed="false">
      <c r="A1755" s="17" t="s">
        <v>1818</v>
      </c>
      <c r="B1755" s="18" t="s">
        <v>1819</v>
      </c>
    </row>
    <row r="1756" customFormat="false" ht="13.5" hidden="false" customHeight="true" outlineLevel="0" collapsed="false">
      <c r="A1756" s="17"/>
      <c r="B1756" s="4" t="s">
        <v>1820</v>
      </c>
    </row>
    <row r="1757" customFormat="false" ht="13.5" hidden="false" customHeight="true" outlineLevel="0" collapsed="false">
      <c r="A1757" s="17"/>
      <c r="B1757" s="18" t="s">
        <v>1821</v>
      </c>
    </row>
    <row r="1758" customFormat="false" ht="13.5" hidden="false" customHeight="true" outlineLevel="0" collapsed="false">
      <c r="A1758" s="17"/>
      <c r="B1758" s="4" t="s">
        <v>1822</v>
      </c>
    </row>
    <row r="1759" customFormat="false" ht="13.5" hidden="false" customHeight="true" outlineLevel="0" collapsed="false">
      <c r="A1759" s="17"/>
      <c r="B1759" s="18" t="s">
        <v>1823</v>
      </c>
    </row>
    <row r="1760" customFormat="false" ht="13.5" hidden="false" customHeight="true" outlineLevel="0" collapsed="false">
      <c r="A1760" s="17"/>
      <c r="B1760" s="4" t="s">
        <v>1824</v>
      </c>
    </row>
    <row r="1761" customFormat="false" ht="13.5" hidden="false" customHeight="true" outlineLevel="0" collapsed="false">
      <c r="A1761" s="17"/>
      <c r="B1761" s="18" t="s">
        <v>1825</v>
      </c>
    </row>
    <row r="1762" customFormat="false" ht="13.5" hidden="false" customHeight="true" outlineLevel="0" collapsed="false">
      <c r="A1762" s="17"/>
      <c r="B1762" s="4" t="s">
        <v>1826</v>
      </c>
    </row>
    <row r="1765" customFormat="false" ht="15" hidden="false" customHeight="false" outlineLevel="0" collapsed="false">
      <c r="A1765" s="15" t="s">
        <v>257</v>
      </c>
      <c r="B1765" s="15" t="s">
        <v>1827</v>
      </c>
    </row>
    <row r="1766" customFormat="false" ht="15" hidden="false" customHeight="false" outlineLevel="0" collapsed="false">
      <c r="B1766" s="16" t="str">
        <f aca="false">HYPERLINK("#Label!G82","← Back to label (row 82)")</f>
        <v>← Back to label (row 82)</v>
      </c>
    </row>
    <row r="1767" customFormat="false" ht="13.5" hidden="false" customHeight="true" outlineLevel="0" collapsed="false">
      <c r="A1767" s="17" t="s">
        <v>24</v>
      </c>
      <c r="B1767" s="18" t="s">
        <v>259</v>
      </c>
    </row>
    <row r="1768" customFormat="false" ht="13.5" hidden="false" customHeight="true" outlineLevel="0" collapsed="false">
      <c r="A1768" s="17" t="s">
        <v>450</v>
      </c>
      <c r="B1768" s="4" t="s">
        <v>1828</v>
      </c>
    </row>
    <row r="1769" customFormat="false" ht="13.5" hidden="false" customHeight="true" outlineLevel="0" collapsed="false">
      <c r="A1769" s="17" t="s">
        <v>454</v>
      </c>
      <c r="B1769" s="19" t="s">
        <v>486</v>
      </c>
    </row>
    <row r="1770" customFormat="false" ht="13.5" hidden="false" customHeight="true" outlineLevel="0" collapsed="false">
      <c r="A1770" s="17" t="s">
        <v>456</v>
      </c>
      <c r="B1770" s="20" t="s">
        <v>457</v>
      </c>
    </row>
    <row r="1771" customFormat="false" ht="13.5" hidden="false" customHeight="true" outlineLevel="0" collapsed="false">
      <c r="A1771" s="17" t="s">
        <v>1829</v>
      </c>
      <c r="B1771" s="18" t="s">
        <v>1830</v>
      </c>
    </row>
    <row r="1772" customFormat="false" ht="13.5" hidden="false" customHeight="true" outlineLevel="0" collapsed="false">
      <c r="A1772" s="17"/>
      <c r="B1772" s="4" t="s">
        <v>1831</v>
      </c>
    </row>
    <row r="1773" customFormat="false" ht="13.5" hidden="false" customHeight="true" outlineLevel="0" collapsed="false">
      <c r="A1773" s="17"/>
      <c r="B1773" s="18" t="s">
        <v>1832</v>
      </c>
    </row>
    <row r="1774" customFormat="false" ht="13.5" hidden="false" customHeight="true" outlineLevel="0" collapsed="false">
      <c r="A1774" s="17"/>
      <c r="B1774" s="4" t="s">
        <v>1833</v>
      </c>
    </row>
    <row r="1775" customFormat="false" ht="13.5" hidden="false" customHeight="true" outlineLevel="0" collapsed="false">
      <c r="A1775" s="17"/>
      <c r="B1775" s="18" t="s">
        <v>1834</v>
      </c>
    </row>
    <row r="1776" customFormat="false" ht="27.75" hidden="false" customHeight="true" outlineLevel="0" collapsed="false">
      <c r="A1776" s="17"/>
      <c r="B1776" s="4" t="s">
        <v>1835</v>
      </c>
    </row>
    <row r="1777" customFormat="false" ht="27.75" hidden="false" customHeight="true" outlineLevel="0" collapsed="false">
      <c r="A1777" s="17"/>
      <c r="B1777" s="18" t="s">
        <v>1836</v>
      </c>
    </row>
    <row r="1778" customFormat="false" ht="13.5" hidden="false" customHeight="true" outlineLevel="0" collapsed="false">
      <c r="A1778" s="17"/>
      <c r="B1778" s="4" t="s">
        <v>1837</v>
      </c>
    </row>
    <row r="1779" customFormat="false" ht="13.5" hidden="false" customHeight="true" outlineLevel="0" collapsed="false">
      <c r="A1779" s="17"/>
      <c r="B1779" s="18" t="s">
        <v>1838</v>
      </c>
    </row>
    <row r="1780" customFormat="false" ht="13.5" hidden="false" customHeight="true" outlineLevel="0" collapsed="false">
      <c r="A1780" s="17"/>
      <c r="B1780" s="4" t="s">
        <v>1839</v>
      </c>
    </row>
    <row r="1781" customFormat="false" ht="13.5" hidden="false" customHeight="true" outlineLevel="0" collapsed="false">
      <c r="A1781" s="17"/>
      <c r="B1781" s="18" t="s">
        <v>1840</v>
      </c>
    </row>
    <row r="1782" customFormat="false" ht="13.5" hidden="false" customHeight="true" outlineLevel="0" collapsed="false">
      <c r="A1782" s="17"/>
      <c r="B1782" s="4" t="s">
        <v>1841</v>
      </c>
    </row>
    <row r="1783" customFormat="false" ht="13.5" hidden="false" customHeight="true" outlineLevel="0" collapsed="false">
      <c r="A1783" s="17"/>
      <c r="B1783" s="18" t="s">
        <v>1842</v>
      </c>
    </row>
    <row r="1784" customFormat="false" ht="13.5" hidden="false" customHeight="true" outlineLevel="0" collapsed="false">
      <c r="A1784" s="17"/>
      <c r="B1784" s="4" t="s">
        <v>1843</v>
      </c>
    </row>
    <row r="1785" customFormat="false" ht="13.5" hidden="false" customHeight="true" outlineLevel="0" collapsed="false">
      <c r="A1785" s="17"/>
      <c r="B1785" s="18" t="s">
        <v>1844</v>
      </c>
    </row>
    <row r="1786" customFormat="false" ht="13.5" hidden="false" customHeight="true" outlineLevel="0" collapsed="false">
      <c r="A1786" s="17"/>
      <c r="B1786" s="4" t="s">
        <v>1845</v>
      </c>
    </row>
    <row r="1787" customFormat="false" ht="13.5" hidden="false" customHeight="true" outlineLevel="0" collapsed="false">
      <c r="A1787" s="17"/>
      <c r="B1787" s="18" t="s">
        <v>1846</v>
      </c>
    </row>
    <row r="1790" customFormat="false" ht="15" hidden="false" customHeight="false" outlineLevel="0" collapsed="false">
      <c r="A1790" s="15" t="s">
        <v>260</v>
      </c>
      <c r="B1790" s="15" t="s">
        <v>261</v>
      </c>
    </row>
    <row r="1791" customFormat="false" ht="15" hidden="false" customHeight="false" outlineLevel="0" collapsed="false">
      <c r="B1791" s="16" t="str">
        <f aca="false">HYPERLINK("#Label!G83","← Back to label (row 83)")</f>
        <v>← Back to label (row 83)</v>
      </c>
    </row>
    <row r="1792" customFormat="false" ht="13.5" hidden="false" customHeight="true" outlineLevel="0" collapsed="false">
      <c r="A1792" s="17" t="s">
        <v>24</v>
      </c>
      <c r="B1792" s="18" t="s">
        <v>262</v>
      </c>
    </row>
    <row r="1793" customFormat="false" ht="13.5" hidden="false" customHeight="true" outlineLevel="0" collapsed="false">
      <c r="A1793" s="17" t="s">
        <v>450</v>
      </c>
      <c r="B1793" s="4" t="s">
        <v>1847</v>
      </c>
    </row>
    <row r="1794" customFormat="false" ht="13.5" hidden="false" customHeight="true" outlineLevel="0" collapsed="false">
      <c r="A1794" s="17" t="s">
        <v>452</v>
      </c>
      <c r="B1794" s="18" t="s">
        <v>1848</v>
      </c>
    </row>
    <row r="1795" customFormat="false" ht="97.5" hidden="false" customHeight="true" outlineLevel="0" collapsed="false">
      <c r="A1795" s="17" t="s">
        <v>454</v>
      </c>
      <c r="B1795" s="4" t="s">
        <v>1849</v>
      </c>
    </row>
    <row r="1796" customFormat="false" ht="13.5" hidden="false" customHeight="true" outlineLevel="0" collapsed="false">
      <c r="A1796" s="17" t="s">
        <v>456</v>
      </c>
      <c r="B1796" s="19" t="s">
        <v>457</v>
      </c>
    </row>
    <row r="1797" customFormat="false" ht="13.5" hidden="false" customHeight="true" outlineLevel="0" collapsed="false">
      <c r="A1797" s="17" t="s">
        <v>1850</v>
      </c>
      <c r="B1797" s="4" t="s">
        <v>1851</v>
      </c>
    </row>
    <row r="1798" customFormat="false" ht="27.75" hidden="false" customHeight="true" outlineLevel="0" collapsed="false">
      <c r="A1798" s="17"/>
      <c r="B1798" s="18" t="s">
        <v>1852</v>
      </c>
    </row>
    <row r="1799" customFormat="false" ht="13.5" hidden="false" customHeight="true" outlineLevel="0" collapsed="false">
      <c r="A1799" s="17"/>
      <c r="B1799" s="4" t="s">
        <v>1853</v>
      </c>
    </row>
    <row r="1800" customFormat="false" ht="27.75" hidden="false" customHeight="true" outlineLevel="0" collapsed="false">
      <c r="A1800" s="17"/>
      <c r="B1800" s="18" t="s">
        <v>1854</v>
      </c>
    </row>
    <row r="1801" customFormat="false" ht="13.5" hidden="false" customHeight="true" outlineLevel="0" collapsed="false">
      <c r="A1801" s="17"/>
      <c r="B1801" s="4" t="s">
        <v>1855</v>
      </c>
    </row>
    <row r="1802" customFormat="false" ht="13.5" hidden="false" customHeight="true" outlineLevel="0" collapsed="false">
      <c r="A1802" s="17"/>
      <c r="B1802" s="18" t="s">
        <v>1856</v>
      </c>
    </row>
    <row r="1803" customFormat="false" ht="13.5" hidden="false" customHeight="true" outlineLevel="0" collapsed="false">
      <c r="A1803" s="17"/>
      <c r="B1803" s="4" t="s">
        <v>1857</v>
      </c>
    </row>
    <row r="1804" customFormat="false" ht="27.75" hidden="false" customHeight="true" outlineLevel="0" collapsed="false">
      <c r="A1804" s="17"/>
      <c r="B1804" s="18" t="s">
        <v>1858</v>
      </c>
    </row>
    <row r="1805" customFormat="false" ht="13.5" hidden="false" customHeight="true" outlineLevel="0" collapsed="false">
      <c r="A1805" s="17"/>
      <c r="B1805" s="4" t="s">
        <v>1859</v>
      </c>
    </row>
    <row r="1806" customFormat="false" ht="13.5" hidden="false" customHeight="true" outlineLevel="0" collapsed="false">
      <c r="A1806" s="17"/>
      <c r="B1806" s="18" t="s">
        <v>1860</v>
      </c>
    </row>
    <row r="1807" customFormat="false" ht="27.75" hidden="false" customHeight="true" outlineLevel="0" collapsed="false">
      <c r="A1807" s="17"/>
      <c r="B1807" s="4" t="s">
        <v>1861</v>
      </c>
    </row>
    <row r="1808" customFormat="false" ht="13.5" hidden="false" customHeight="true" outlineLevel="0" collapsed="false">
      <c r="A1808" s="17"/>
      <c r="B1808" s="18" t="s">
        <v>1862</v>
      </c>
    </row>
    <row r="1809" customFormat="false" ht="27.75" hidden="false" customHeight="true" outlineLevel="0" collapsed="false">
      <c r="A1809" s="17"/>
      <c r="B1809" s="4" t="s">
        <v>1863</v>
      </c>
    </row>
    <row r="1810" customFormat="false" ht="27.75" hidden="false" customHeight="true" outlineLevel="0" collapsed="false">
      <c r="A1810" s="17"/>
      <c r="B1810" s="18" t="s">
        <v>1864</v>
      </c>
    </row>
    <row r="1811" customFormat="false" ht="13.5" hidden="false" customHeight="true" outlineLevel="0" collapsed="false">
      <c r="A1811" s="17"/>
      <c r="B1811" s="4" t="s">
        <v>1865</v>
      </c>
    </row>
    <row r="1814" customFormat="false" ht="15" hidden="false" customHeight="false" outlineLevel="0" collapsed="false">
      <c r="A1814" s="15" t="s">
        <v>263</v>
      </c>
      <c r="B1814" s="15" t="s">
        <v>1866</v>
      </c>
    </row>
    <row r="1815" customFormat="false" ht="15" hidden="false" customHeight="false" outlineLevel="0" collapsed="false">
      <c r="B1815" s="16" t="str">
        <f aca="false">HYPERLINK("#Label!G84","← Back to label (row 84)")</f>
        <v>← Back to label (row 84)</v>
      </c>
    </row>
    <row r="1816" customFormat="false" ht="13.5" hidden="false" customHeight="true" outlineLevel="0" collapsed="false">
      <c r="A1816" s="17" t="s">
        <v>24</v>
      </c>
      <c r="B1816" s="18" t="s">
        <v>106</v>
      </c>
    </row>
    <row r="1817" customFormat="false" ht="13.5" hidden="false" customHeight="true" outlineLevel="0" collapsed="false">
      <c r="A1817" s="17" t="s">
        <v>450</v>
      </c>
      <c r="B1817" s="4" t="s">
        <v>1867</v>
      </c>
    </row>
    <row r="1818" customFormat="false" ht="13.5" hidden="false" customHeight="true" outlineLevel="0" collapsed="false">
      <c r="A1818" s="17" t="s">
        <v>454</v>
      </c>
      <c r="B1818" s="19" t="s">
        <v>486</v>
      </c>
    </row>
    <row r="1819" customFormat="false" ht="13.5" hidden="false" customHeight="true" outlineLevel="0" collapsed="false">
      <c r="A1819" s="17" t="s">
        <v>456</v>
      </c>
      <c r="B1819" s="20" t="s">
        <v>457</v>
      </c>
    </row>
    <row r="1820" customFormat="false" ht="27.75" hidden="false" customHeight="true" outlineLevel="0" collapsed="false">
      <c r="A1820" s="17" t="s">
        <v>1160</v>
      </c>
      <c r="B1820" s="18" t="s">
        <v>1868</v>
      </c>
    </row>
    <row r="1821" customFormat="false" ht="13.5" hidden="false" customHeight="true" outlineLevel="0" collapsed="false">
      <c r="A1821" s="17"/>
      <c r="B1821" s="4" t="s">
        <v>1869</v>
      </c>
    </row>
    <row r="1822" customFormat="false" ht="13.5" hidden="false" customHeight="true" outlineLevel="0" collapsed="false">
      <c r="A1822" s="17"/>
      <c r="B1822" s="18" t="s">
        <v>1870</v>
      </c>
    </row>
    <row r="1823" customFormat="false" ht="13.5" hidden="false" customHeight="true" outlineLevel="0" collapsed="false">
      <c r="A1823" s="17"/>
      <c r="B1823" s="4" t="s">
        <v>1871</v>
      </c>
    </row>
    <row r="1824" customFormat="false" ht="13.5" hidden="false" customHeight="true" outlineLevel="0" collapsed="false">
      <c r="A1824" s="17"/>
      <c r="B1824" s="18" t="s">
        <v>1872</v>
      </c>
    </row>
    <row r="1825" customFormat="false" ht="13.5" hidden="false" customHeight="true" outlineLevel="0" collapsed="false">
      <c r="A1825" s="17"/>
      <c r="B1825" s="4" t="s">
        <v>1873</v>
      </c>
    </row>
    <row r="1826" customFormat="false" ht="13.5" hidden="false" customHeight="true" outlineLevel="0" collapsed="false">
      <c r="A1826" s="17"/>
      <c r="B1826" s="18" t="s">
        <v>1874</v>
      </c>
    </row>
    <row r="1827" customFormat="false" ht="13.5" hidden="false" customHeight="true" outlineLevel="0" collapsed="false">
      <c r="A1827" s="17"/>
      <c r="B1827" s="4" t="s">
        <v>1875</v>
      </c>
    </row>
    <row r="1828" customFormat="false" ht="13.5" hidden="false" customHeight="true" outlineLevel="0" collapsed="false">
      <c r="A1828" s="17"/>
      <c r="B1828" s="18" t="s">
        <v>1876</v>
      </c>
    </row>
    <row r="1829" customFormat="false" ht="13.5" hidden="false" customHeight="true" outlineLevel="0" collapsed="false">
      <c r="A1829" s="17"/>
      <c r="B1829" s="4" t="s">
        <v>1877</v>
      </c>
    </row>
    <row r="1830" customFormat="false" ht="13.5" hidden="false" customHeight="true" outlineLevel="0" collapsed="false">
      <c r="A1830" s="17"/>
      <c r="B1830" s="18" t="s">
        <v>1878</v>
      </c>
    </row>
    <row r="1831" customFormat="false" ht="13.5" hidden="false" customHeight="true" outlineLevel="0" collapsed="false">
      <c r="A1831" s="17"/>
      <c r="B1831" s="4" t="s">
        <v>1879</v>
      </c>
    </row>
    <row r="1832" customFormat="false" ht="13.5" hidden="false" customHeight="true" outlineLevel="0" collapsed="false">
      <c r="A1832" s="17"/>
      <c r="B1832" s="18" t="s">
        <v>1880</v>
      </c>
    </row>
    <row r="1833" customFormat="false" ht="13.5" hidden="false" customHeight="true" outlineLevel="0" collapsed="false">
      <c r="A1833" s="17"/>
      <c r="B1833" s="4" t="s">
        <v>1881</v>
      </c>
    </row>
    <row r="1834" customFormat="false" ht="13.5" hidden="false" customHeight="true" outlineLevel="0" collapsed="false">
      <c r="A1834" s="17"/>
      <c r="B1834" s="18" t="s">
        <v>1882</v>
      </c>
    </row>
    <row r="1835" customFormat="false" ht="13.5" hidden="false" customHeight="true" outlineLevel="0" collapsed="false">
      <c r="A1835" s="17"/>
      <c r="B1835" s="4" t="s">
        <v>1883</v>
      </c>
    </row>
    <row r="1836" customFormat="false" ht="13.5" hidden="false" customHeight="true" outlineLevel="0" collapsed="false">
      <c r="A1836" s="17"/>
      <c r="B1836" s="18" t="s">
        <v>1884</v>
      </c>
    </row>
    <row r="1837" customFormat="false" ht="13.5" hidden="false" customHeight="true" outlineLevel="0" collapsed="false">
      <c r="A1837" s="17"/>
      <c r="B1837" s="4" t="s">
        <v>1885</v>
      </c>
    </row>
    <row r="1838" customFormat="false" ht="13.5" hidden="false" customHeight="true" outlineLevel="0" collapsed="false">
      <c r="A1838" s="17"/>
      <c r="B1838" s="18" t="s">
        <v>1886</v>
      </c>
    </row>
    <row r="1841" customFormat="false" ht="15" hidden="false" customHeight="false" outlineLevel="0" collapsed="false">
      <c r="A1841" s="15" t="s">
        <v>265</v>
      </c>
      <c r="B1841" s="15" t="s">
        <v>1887</v>
      </c>
    </row>
    <row r="1842" customFormat="false" ht="15" hidden="false" customHeight="false" outlineLevel="0" collapsed="false">
      <c r="B1842" s="16" t="str">
        <f aca="false">HYPERLINK("#Label!G85","← Back to label (row 85)")</f>
        <v>← Back to label (row 85)</v>
      </c>
    </row>
    <row r="1843" customFormat="false" ht="13.5" hidden="false" customHeight="true" outlineLevel="0" collapsed="false">
      <c r="A1843" s="17" t="s">
        <v>24</v>
      </c>
      <c r="B1843" s="18" t="s">
        <v>267</v>
      </c>
    </row>
    <row r="1844" customFormat="false" ht="13.5" hidden="false" customHeight="true" outlineLevel="0" collapsed="false">
      <c r="A1844" s="17" t="s">
        <v>450</v>
      </c>
      <c r="B1844" s="4" t="s">
        <v>1888</v>
      </c>
    </row>
    <row r="1845" customFormat="false" ht="13.5" hidden="false" customHeight="true" outlineLevel="0" collapsed="false">
      <c r="A1845" s="17" t="s">
        <v>452</v>
      </c>
      <c r="B1845" s="18" t="s">
        <v>1889</v>
      </c>
    </row>
    <row r="1846" customFormat="false" ht="42" hidden="false" customHeight="true" outlineLevel="0" collapsed="false">
      <c r="A1846" s="17" t="s">
        <v>454</v>
      </c>
      <c r="B1846" s="4" t="s">
        <v>1890</v>
      </c>
    </row>
    <row r="1847" customFormat="false" ht="13.5" hidden="false" customHeight="true" outlineLevel="0" collapsed="false">
      <c r="A1847" s="17" t="s">
        <v>456</v>
      </c>
      <c r="B1847" s="19" t="s">
        <v>457</v>
      </c>
    </row>
    <row r="1848" customFormat="false" ht="13.5" hidden="false" customHeight="true" outlineLevel="0" collapsed="false">
      <c r="A1848" s="17" t="s">
        <v>508</v>
      </c>
      <c r="B1848" s="20" t="s">
        <v>509</v>
      </c>
    </row>
    <row r="1851" customFormat="false" ht="15" hidden="false" customHeight="false" outlineLevel="0" collapsed="false">
      <c r="A1851" s="15" t="s">
        <v>268</v>
      </c>
      <c r="B1851" s="15" t="s">
        <v>1891</v>
      </c>
    </row>
    <row r="1852" customFormat="false" ht="15" hidden="false" customHeight="false" outlineLevel="0" collapsed="false">
      <c r="B1852" s="16" t="str">
        <f aca="false">HYPERLINK("#Label!G86","← Back to label (row 86)")</f>
        <v>← Back to label (row 86)</v>
      </c>
    </row>
    <row r="1853" customFormat="false" ht="27.75" hidden="false" customHeight="true" outlineLevel="0" collapsed="false">
      <c r="A1853" s="17" t="s">
        <v>24</v>
      </c>
      <c r="B1853" s="18" t="s">
        <v>270</v>
      </c>
    </row>
    <row r="1854" customFormat="false" ht="13.5" hidden="false" customHeight="true" outlineLevel="0" collapsed="false">
      <c r="A1854" s="17" t="s">
        <v>450</v>
      </c>
      <c r="B1854" s="4" t="s">
        <v>1892</v>
      </c>
    </row>
    <row r="1855" customFormat="false" ht="13.5" hidden="false" customHeight="true" outlineLevel="0" collapsed="false">
      <c r="A1855" s="17" t="s">
        <v>452</v>
      </c>
      <c r="B1855" s="18" t="s">
        <v>1893</v>
      </c>
    </row>
    <row r="1856" customFormat="false" ht="111.75" hidden="false" customHeight="true" outlineLevel="0" collapsed="false">
      <c r="A1856" s="17" t="s">
        <v>454</v>
      </c>
      <c r="B1856" s="4" t="s">
        <v>1894</v>
      </c>
    </row>
    <row r="1857" customFormat="false" ht="13.5" hidden="false" customHeight="true" outlineLevel="0" collapsed="false">
      <c r="A1857" s="17" t="s">
        <v>456</v>
      </c>
      <c r="B1857" s="19" t="s">
        <v>457</v>
      </c>
    </row>
    <row r="1858" customFormat="false" ht="13.5" hidden="false" customHeight="true" outlineLevel="0" collapsed="false">
      <c r="A1858" s="17" t="s">
        <v>519</v>
      </c>
      <c r="B1858" s="4" t="s">
        <v>1895</v>
      </c>
    </row>
    <row r="1861" customFormat="false" ht="15" hidden="false" customHeight="false" outlineLevel="0" collapsed="false">
      <c r="A1861" s="15" t="s">
        <v>271</v>
      </c>
      <c r="B1861" s="15" t="s">
        <v>1896</v>
      </c>
    </row>
    <row r="1862" customFormat="false" ht="15" hidden="false" customHeight="false" outlineLevel="0" collapsed="false">
      <c r="B1862" s="16" t="str">
        <f aca="false">HYPERLINK("#Label!G87","← Back to label (row 87)")</f>
        <v>← Back to label (row 87)</v>
      </c>
    </row>
    <row r="1863" customFormat="false" ht="13.5" hidden="false" customHeight="true" outlineLevel="0" collapsed="false">
      <c r="A1863" s="17" t="s">
        <v>24</v>
      </c>
      <c r="B1863" s="18" t="s">
        <v>49</v>
      </c>
    </row>
    <row r="1864" customFormat="false" ht="13.5" hidden="false" customHeight="true" outlineLevel="0" collapsed="false">
      <c r="A1864" s="17" t="s">
        <v>450</v>
      </c>
      <c r="B1864" s="4" t="s">
        <v>1897</v>
      </c>
    </row>
    <row r="1865" customFormat="false" ht="13.5" hidden="false" customHeight="true" outlineLevel="0" collapsed="false">
      <c r="A1865" s="17" t="s">
        <v>452</v>
      </c>
      <c r="B1865" s="18" t="s">
        <v>1898</v>
      </c>
    </row>
    <row r="1866" customFormat="false" ht="153.75" hidden="false" customHeight="true" outlineLevel="0" collapsed="false">
      <c r="A1866" s="17" t="s">
        <v>454</v>
      </c>
      <c r="B1866" s="4" t="s">
        <v>1899</v>
      </c>
    </row>
    <row r="1867" customFormat="false" ht="13.5" hidden="false" customHeight="true" outlineLevel="0" collapsed="false">
      <c r="A1867" s="17" t="s">
        <v>456</v>
      </c>
      <c r="B1867" s="19" t="s">
        <v>457</v>
      </c>
    </row>
    <row r="1868" customFormat="false" ht="13.5" hidden="false" customHeight="true" outlineLevel="0" collapsed="false">
      <c r="A1868" s="17" t="s">
        <v>1900</v>
      </c>
      <c r="B1868" s="4" t="s">
        <v>1901</v>
      </c>
    </row>
    <row r="1869" customFormat="false" ht="13.5" hidden="false" customHeight="true" outlineLevel="0" collapsed="false">
      <c r="A1869" s="17"/>
      <c r="B1869" s="18" t="s">
        <v>1902</v>
      </c>
    </row>
    <row r="1870" customFormat="false" ht="13.5" hidden="false" customHeight="true" outlineLevel="0" collapsed="false">
      <c r="A1870" s="17"/>
      <c r="B1870" s="4" t="s">
        <v>1903</v>
      </c>
    </row>
    <row r="1871" customFormat="false" ht="13.5" hidden="false" customHeight="true" outlineLevel="0" collapsed="false">
      <c r="A1871" s="17"/>
      <c r="B1871" s="18" t="s">
        <v>1904</v>
      </c>
    </row>
    <row r="1872" customFormat="false" ht="13.5" hidden="false" customHeight="true" outlineLevel="0" collapsed="false">
      <c r="A1872" s="17"/>
      <c r="B1872" s="4" t="s">
        <v>1905</v>
      </c>
    </row>
    <row r="1873" customFormat="false" ht="13.5" hidden="false" customHeight="true" outlineLevel="0" collapsed="false">
      <c r="A1873" s="17"/>
      <c r="B1873" s="18" t="s">
        <v>1906</v>
      </c>
    </row>
    <row r="1874" customFormat="false" ht="13.5" hidden="false" customHeight="true" outlineLevel="0" collapsed="false">
      <c r="A1874" s="17"/>
      <c r="B1874" s="4" t="s">
        <v>1907</v>
      </c>
    </row>
    <row r="1875" customFormat="false" ht="13.5" hidden="false" customHeight="true" outlineLevel="0" collapsed="false">
      <c r="A1875" s="17"/>
      <c r="B1875" s="18" t="s">
        <v>1908</v>
      </c>
    </row>
    <row r="1876" customFormat="false" ht="13.5" hidden="false" customHeight="true" outlineLevel="0" collapsed="false">
      <c r="A1876" s="17"/>
      <c r="B1876" s="4" t="s">
        <v>1909</v>
      </c>
    </row>
    <row r="1877" customFormat="false" ht="13.5" hidden="false" customHeight="true" outlineLevel="0" collapsed="false">
      <c r="A1877" s="17"/>
      <c r="B1877" s="18" t="s">
        <v>1910</v>
      </c>
    </row>
    <row r="1878" customFormat="false" ht="13.5" hidden="false" customHeight="true" outlineLevel="0" collapsed="false">
      <c r="A1878" s="17"/>
      <c r="B1878" s="4" t="s">
        <v>1911</v>
      </c>
    </row>
    <row r="1879" customFormat="false" ht="13.5" hidden="false" customHeight="true" outlineLevel="0" collapsed="false">
      <c r="A1879" s="17"/>
      <c r="B1879" s="18" t="s">
        <v>1912</v>
      </c>
    </row>
    <row r="1880" customFormat="false" ht="13.5" hidden="false" customHeight="true" outlineLevel="0" collapsed="false">
      <c r="A1880" s="17"/>
      <c r="B1880" s="4" t="s">
        <v>1913</v>
      </c>
    </row>
    <row r="1881" customFormat="false" ht="13.5" hidden="false" customHeight="true" outlineLevel="0" collapsed="false">
      <c r="A1881" s="17"/>
      <c r="B1881" s="18" t="s">
        <v>1914</v>
      </c>
    </row>
    <row r="1882" customFormat="false" ht="13.5" hidden="false" customHeight="true" outlineLevel="0" collapsed="false">
      <c r="A1882" s="17"/>
      <c r="B1882" s="4" t="s">
        <v>1915</v>
      </c>
    </row>
    <row r="1883" customFormat="false" ht="13.5" hidden="false" customHeight="true" outlineLevel="0" collapsed="false">
      <c r="A1883" s="17"/>
      <c r="B1883" s="18" t="s">
        <v>1916</v>
      </c>
    </row>
    <row r="1884" customFormat="false" ht="13.5" hidden="false" customHeight="true" outlineLevel="0" collapsed="false">
      <c r="A1884" s="17"/>
      <c r="B1884" s="4" t="s">
        <v>1917</v>
      </c>
    </row>
    <row r="1885" customFormat="false" ht="13.5" hidden="false" customHeight="true" outlineLevel="0" collapsed="false">
      <c r="A1885" s="17"/>
      <c r="B1885" s="18" t="s">
        <v>1918</v>
      </c>
    </row>
    <row r="1886" customFormat="false" ht="13.5" hidden="false" customHeight="true" outlineLevel="0" collapsed="false">
      <c r="A1886" s="17"/>
      <c r="B1886" s="4" t="s">
        <v>1919</v>
      </c>
    </row>
    <row r="1887" customFormat="false" ht="13.5" hidden="false" customHeight="true" outlineLevel="0" collapsed="false">
      <c r="A1887" s="17"/>
      <c r="B1887" s="18" t="s">
        <v>1920</v>
      </c>
    </row>
    <row r="1888" customFormat="false" ht="13.5" hidden="false" customHeight="true" outlineLevel="0" collapsed="false">
      <c r="A1888" s="17"/>
      <c r="B1888" s="4" t="s">
        <v>1921</v>
      </c>
    </row>
    <row r="1889" customFormat="false" ht="13.5" hidden="false" customHeight="true" outlineLevel="0" collapsed="false">
      <c r="A1889" s="17"/>
      <c r="B1889" s="18" t="s">
        <v>1922</v>
      </c>
    </row>
    <row r="1890" customFormat="false" ht="13.5" hidden="false" customHeight="true" outlineLevel="0" collapsed="false">
      <c r="A1890" s="17"/>
      <c r="B1890" s="4" t="s">
        <v>1923</v>
      </c>
    </row>
    <row r="1891" customFormat="false" ht="13.5" hidden="false" customHeight="true" outlineLevel="0" collapsed="false">
      <c r="A1891" s="17"/>
      <c r="B1891" s="18" t="s">
        <v>1924</v>
      </c>
    </row>
    <row r="1892" customFormat="false" ht="13.5" hidden="false" customHeight="true" outlineLevel="0" collapsed="false">
      <c r="A1892" s="17"/>
      <c r="B1892" s="4" t="s">
        <v>1925</v>
      </c>
    </row>
    <row r="1893" customFormat="false" ht="13.5" hidden="false" customHeight="true" outlineLevel="0" collapsed="false">
      <c r="A1893" s="17"/>
      <c r="B1893" s="18" t="s">
        <v>1926</v>
      </c>
    </row>
    <row r="1894" customFormat="false" ht="13.5" hidden="false" customHeight="true" outlineLevel="0" collapsed="false">
      <c r="A1894" s="17"/>
      <c r="B1894" s="4" t="s">
        <v>1927</v>
      </c>
    </row>
    <row r="1895" customFormat="false" ht="13.5" hidden="false" customHeight="true" outlineLevel="0" collapsed="false">
      <c r="A1895" s="17"/>
      <c r="B1895" s="18" t="s">
        <v>1928</v>
      </c>
    </row>
    <row r="1896" customFormat="false" ht="13.5" hidden="false" customHeight="true" outlineLevel="0" collapsed="false">
      <c r="A1896" s="17"/>
      <c r="B1896" s="4" t="s">
        <v>1929</v>
      </c>
    </row>
    <row r="1897" customFormat="false" ht="13.5" hidden="false" customHeight="true" outlineLevel="0" collapsed="false">
      <c r="A1897" s="17"/>
      <c r="B1897" s="18" t="s">
        <v>1930</v>
      </c>
    </row>
    <row r="1898" customFormat="false" ht="13.5" hidden="false" customHeight="true" outlineLevel="0" collapsed="false">
      <c r="A1898" s="17"/>
      <c r="B1898" s="4" t="s">
        <v>1931</v>
      </c>
    </row>
    <row r="1901" customFormat="false" ht="15" hidden="false" customHeight="false" outlineLevel="0" collapsed="false">
      <c r="A1901" s="15" t="s">
        <v>273</v>
      </c>
      <c r="B1901" s="15" t="s">
        <v>1932</v>
      </c>
    </row>
    <row r="1902" customFormat="false" ht="15" hidden="false" customHeight="false" outlineLevel="0" collapsed="false">
      <c r="B1902" s="16" t="str">
        <f aca="false">HYPERLINK("#Label!G88","← Back to label (row 88)")</f>
        <v>← Back to label (row 88)</v>
      </c>
    </row>
    <row r="1903" customFormat="false" ht="13.5" hidden="false" customHeight="true" outlineLevel="0" collapsed="false">
      <c r="A1903" s="17" t="s">
        <v>24</v>
      </c>
      <c r="B1903" s="18" t="s">
        <v>259</v>
      </c>
    </row>
    <row r="1904" customFormat="false" ht="13.5" hidden="false" customHeight="true" outlineLevel="0" collapsed="false">
      <c r="A1904" s="17" t="s">
        <v>450</v>
      </c>
      <c r="B1904" s="4" t="s">
        <v>1933</v>
      </c>
    </row>
    <row r="1905" customFormat="false" ht="13.5" hidden="false" customHeight="true" outlineLevel="0" collapsed="false">
      <c r="A1905" s="17" t="s">
        <v>454</v>
      </c>
      <c r="B1905" s="19" t="s">
        <v>486</v>
      </c>
    </row>
    <row r="1906" customFormat="false" ht="13.5" hidden="false" customHeight="true" outlineLevel="0" collapsed="false">
      <c r="A1906" s="17" t="s">
        <v>456</v>
      </c>
      <c r="B1906" s="20" t="s">
        <v>457</v>
      </c>
    </row>
    <row r="1907" customFormat="false" ht="27.75" hidden="false" customHeight="true" outlineLevel="0" collapsed="false">
      <c r="A1907" s="17" t="s">
        <v>1829</v>
      </c>
      <c r="B1907" s="18" t="s">
        <v>1934</v>
      </c>
    </row>
    <row r="1908" customFormat="false" ht="13.5" hidden="false" customHeight="true" outlineLevel="0" collapsed="false">
      <c r="A1908" s="17"/>
      <c r="B1908" s="4" t="s">
        <v>1935</v>
      </c>
    </row>
    <row r="1909" customFormat="false" ht="13.5" hidden="false" customHeight="true" outlineLevel="0" collapsed="false">
      <c r="A1909" s="17"/>
      <c r="B1909" s="18" t="s">
        <v>1936</v>
      </c>
    </row>
    <row r="1910" customFormat="false" ht="13.5" hidden="false" customHeight="true" outlineLevel="0" collapsed="false">
      <c r="A1910" s="17"/>
      <c r="B1910" s="4" t="s">
        <v>1937</v>
      </c>
    </row>
    <row r="1911" customFormat="false" ht="13.5" hidden="false" customHeight="true" outlineLevel="0" collapsed="false">
      <c r="A1911" s="17"/>
      <c r="B1911" s="18" t="s">
        <v>1938</v>
      </c>
    </row>
    <row r="1912" customFormat="false" ht="13.5" hidden="false" customHeight="true" outlineLevel="0" collapsed="false">
      <c r="A1912" s="17"/>
      <c r="B1912" s="4" t="s">
        <v>1939</v>
      </c>
    </row>
    <row r="1913" customFormat="false" ht="13.5" hidden="false" customHeight="true" outlineLevel="0" collapsed="false">
      <c r="A1913" s="17"/>
      <c r="B1913" s="18" t="s">
        <v>1940</v>
      </c>
    </row>
    <row r="1914" customFormat="false" ht="13.5" hidden="false" customHeight="true" outlineLevel="0" collapsed="false">
      <c r="A1914" s="17"/>
      <c r="B1914" s="4" t="s">
        <v>1941</v>
      </c>
    </row>
    <row r="1915" customFormat="false" ht="13.5" hidden="false" customHeight="true" outlineLevel="0" collapsed="false">
      <c r="A1915" s="17"/>
      <c r="B1915" s="18" t="s">
        <v>1942</v>
      </c>
    </row>
    <row r="1916" customFormat="false" ht="13.5" hidden="false" customHeight="true" outlineLevel="0" collapsed="false">
      <c r="A1916" s="17"/>
      <c r="B1916" s="4" t="s">
        <v>1943</v>
      </c>
    </row>
    <row r="1917" customFormat="false" ht="13.5" hidden="false" customHeight="true" outlineLevel="0" collapsed="false">
      <c r="A1917" s="17"/>
      <c r="B1917" s="18" t="s">
        <v>1944</v>
      </c>
    </row>
    <row r="1918" customFormat="false" ht="27.75" hidden="false" customHeight="true" outlineLevel="0" collapsed="false">
      <c r="A1918" s="17"/>
      <c r="B1918" s="4" t="s">
        <v>1945</v>
      </c>
    </row>
    <row r="1919" customFormat="false" ht="13.5" hidden="false" customHeight="true" outlineLevel="0" collapsed="false">
      <c r="A1919" s="17"/>
      <c r="B1919" s="18" t="s">
        <v>1946</v>
      </c>
    </row>
    <row r="1920" customFormat="false" ht="13.5" hidden="false" customHeight="true" outlineLevel="0" collapsed="false">
      <c r="A1920" s="17"/>
      <c r="B1920" s="4" t="s">
        <v>1947</v>
      </c>
    </row>
    <row r="1921" customFormat="false" ht="13.5" hidden="false" customHeight="true" outlineLevel="0" collapsed="false">
      <c r="A1921" s="17"/>
      <c r="B1921" s="18" t="s">
        <v>1948</v>
      </c>
    </row>
    <row r="1922" customFormat="false" ht="13.5" hidden="false" customHeight="true" outlineLevel="0" collapsed="false">
      <c r="A1922" s="17"/>
      <c r="B1922" s="4" t="s">
        <v>1949</v>
      </c>
    </row>
    <row r="1923" customFormat="false" ht="13.5" hidden="false" customHeight="true" outlineLevel="0" collapsed="false">
      <c r="A1923" s="17"/>
      <c r="B1923" s="18" t="s">
        <v>1950</v>
      </c>
    </row>
    <row r="1926" customFormat="false" ht="15" hidden="false" customHeight="false" outlineLevel="0" collapsed="false">
      <c r="A1926" s="15" t="s">
        <v>275</v>
      </c>
      <c r="B1926" s="15" t="s">
        <v>1951</v>
      </c>
    </row>
    <row r="1927" customFormat="false" ht="15" hidden="false" customHeight="false" outlineLevel="0" collapsed="false">
      <c r="B1927" s="16" t="str">
        <f aca="false">HYPERLINK("#Label!G89","← Back to label (row 89)")</f>
        <v>← Back to label (row 89)</v>
      </c>
    </row>
    <row r="1928" customFormat="false" ht="13.5" hidden="false" customHeight="true" outlineLevel="0" collapsed="false">
      <c r="A1928" s="17" t="s">
        <v>24</v>
      </c>
      <c r="B1928" s="18" t="s">
        <v>267</v>
      </c>
    </row>
    <row r="1929" customFormat="false" ht="13.5" hidden="false" customHeight="true" outlineLevel="0" collapsed="false">
      <c r="A1929" s="17" t="s">
        <v>450</v>
      </c>
      <c r="B1929" s="4" t="s">
        <v>1952</v>
      </c>
    </row>
    <row r="1930" customFormat="false" ht="13.5" hidden="false" customHeight="true" outlineLevel="0" collapsed="false">
      <c r="A1930" s="17" t="s">
        <v>452</v>
      </c>
      <c r="B1930" s="18" t="s">
        <v>1953</v>
      </c>
    </row>
    <row r="1931" customFormat="false" ht="84" hidden="false" customHeight="true" outlineLevel="0" collapsed="false">
      <c r="A1931" s="17" t="s">
        <v>454</v>
      </c>
      <c r="B1931" s="4" t="s">
        <v>1954</v>
      </c>
    </row>
    <row r="1932" customFormat="false" ht="13.5" hidden="false" customHeight="true" outlineLevel="0" collapsed="false">
      <c r="A1932" s="17" t="s">
        <v>456</v>
      </c>
      <c r="B1932" s="19" t="s">
        <v>457</v>
      </c>
    </row>
    <row r="1933" customFormat="false" ht="27.75" hidden="false" customHeight="true" outlineLevel="0" collapsed="false">
      <c r="A1933" s="17" t="s">
        <v>1195</v>
      </c>
      <c r="B1933" s="4" t="s">
        <v>1955</v>
      </c>
    </row>
    <row r="1934" customFormat="false" ht="13.5" hidden="false" customHeight="true" outlineLevel="0" collapsed="false">
      <c r="A1934" s="17"/>
      <c r="B1934" s="18" t="s">
        <v>1956</v>
      </c>
    </row>
    <row r="1935" customFormat="false" ht="13.5" hidden="false" customHeight="true" outlineLevel="0" collapsed="false">
      <c r="A1935" s="17"/>
      <c r="B1935" s="4" t="s">
        <v>1957</v>
      </c>
    </row>
    <row r="1936" customFormat="false" ht="13.5" hidden="false" customHeight="true" outlineLevel="0" collapsed="false">
      <c r="A1936" s="17"/>
      <c r="B1936" s="18" t="s">
        <v>1958</v>
      </c>
    </row>
    <row r="1939" customFormat="false" ht="15" hidden="false" customHeight="false" outlineLevel="0" collapsed="false">
      <c r="A1939" s="15" t="s">
        <v>277</v>
      </c>
      <c r="B1939" s="15" t="s">
        <v>1959</v>
      </c>
    </row>
    <row r="1940" customFormat="false" ht="15" hidden="false" customHeight="false" outlineLevel="0" collapsed="false">
      <c r="B1940" s="16" t="str">
        <f aca="false">HYPERLINK("#Label!G90","← Back to label (row 90)")</f>
        <v>← Back to label (row 90)</v>
      </c>
    </row>
    <row r="1941" customFormat="false" ht="55.5" hidden="false" customHeight="true" outlineLevel="0" collapsed="false">
      <c r="A1941" s="17" t="s">
        <v>24</v>
      </c>
      <c r="B1941" s="18" t="s">
        <v>1960</v>
      </c>
    </row>
    <row r="1942" customFormat="false" ht="13.5" hidden="false" customHeight="true" outlineLevel="0" collapsed="false">
      <c r="A1942" s="17" t="s">
        <v>450</v>
      </c>
      <c r="B1942" s="4" t="s">
        <v>1961</v>
      </c>
    </row>
    <row r="1943" customFormat="false" ht="13.5" hidden="false" customHeight="true" outlineLevel="0" collapsed="false">
      <c r="A1943" s="17" t="s">
        <v>452</v>
      </c>
      <c r="B1943" s="18" t="s">
        <v>1962</v>
      </c>
    </row>
    <row r="1944" customFormat="false" ht="13.5" hidden="false" customHeight="true" outlineLevel="0" collapsed="false">
      <c r="A1944" s="17" t="s">
        <v>454</v>
      </c>
      <c r="B1944" s="4" t="s">
        <v>1963</v>
      </c>
    </row>
    <row r="1945" customFormat="false" ht="13.5" hidden="false" customHeight="true" outlineLevel="0" collapsed="false">
      <c r="A1945" s="17" t="s">
        <v>456</v>
      </c>
      <c r="B1945" s="19" t="s">
        <v>457</v>
      </c>
    </row>
    <row r="1946" customFormat="false" ht="13.5" hidden="false" customHeight="true" outlineLevel="0" collapsed="false">
      <c r="A1946" s="17" t="s">
        <v>519</v>
      </c>
      <c r="B1946" s="4" t="s">
        <v>1964</v>
      </c>
    </row>
    <row r="1949" customFormat="false" ht="15" hidden="false" customHeight="false" outlineLevel="0" collapsed="false">
      <c r="A1949" s="15" t="s">
        <v>281</v>
      </c>
      <c r="B1949" s="15" t="s">
        <v>1965</v>
      </c>
    </row>
    <row r="1950" customFormat="false" ht="15" hidden="false" customHeight="false" outlineLevel="0" collapsed="false">
      <c r="B1950" s="16" t="str">
        <f aca="false">HYPERLINK("#Label!G91","← Back to label (row 91)")</f>
        <v>← Back to label (row 91)</v>
      </c>
    </row>
    <row r="1951" customFormat="false" ht="13.5" hidden="false" customHeight="true" outlineLevel="0" collapsed="false">
      <c r="A1951" s="17" t="s">
        <v>24</v>
      </c>
      <c r="B1951" s="18" t="s">
        <v>71</v>
      </c>
    </row>
    <row r="1952" customFormat="false" ht="13.5" hidden="false" customHeight="true" outlineLevel="0" collapsed="false">
      <c r="A1952" s="17" t="s">
        <v>450</v>
      </c>
      <c r="B1952" s="4" t="s">
        <v>1966</v>
      </c>
    </row>
    <row r="1953" customFormat="false" ht="13.5" hidden="false" customHeight="true" outlineLevel="0" collapsed="false">
      <c r="A1953" s="17" t="s">
        <v>452</v>
      </c>
      <c r="B1953" s="18" t="s">
        <v>1967</v>
      </c>
    </row>
    <row r="1954" customFormat="false" ht="168" hidden="false" customHeight="true" outlineLevel="0" collapsed="false">
      <c r="A1954" s="17" t="s">
        <v>454</v>
      </c>
      <c r="B1954" s="4" t="s">
        <v>1968</v>
      </c>
    </row>
    <row r="1955" customFormat="false" ht="13.5" hidden="false" customHeight="true" outlineLevel="0" collapsed="false">
      <c r="A1955" s="17" t="s">
        <v>456</v>
      </c>
      <c r="B1955" s="19" t="s">
        <v>457</v>
      </c>
    </row>
    <row r="1956" customFormat="false" ht="13.5" hidden="false" customHeight="true" outlineLevel="0" collapsed="false">
      <c r="A1956" s="17" t="s">
        <v>1195</v>
      </c>
      <c r="B1956" s="4" t="s">
        <v>1969</v>
      </c>
    </row>
    <row r="1957" customFormat="false" ht="13.5" hidden="false" customHeight="true" outlineLevel="0" collapsed="false">
      <c r="A1957" s="17"/>
      <c r="B1957" s="18" t="s">
        <v>1970</v>
      </c>
    </row>
    <row r="1958" customFormat="false" ht="13.5" hidden="false" customHeight="true" outlineLevel="0" collapsed="false">
      <c r="A1958" s="17"/>
      <c r="B1958" s="4" t="s">
        <v>1971</v>
      </c>
    </row>
    <row r="1959" customFormat="false" ht="27.75" hidden="false" customHeight="true" outlineLevel="0" collapsed="false">
      <c r="A1959" s="17"/>
      <c r="B1959" s="18" t="s">
        <v>1972</v>
      </c>
    </row>
    <row r="1962" customFormat="false" ht="15" hidden="false" customHeight="false" outlineLevel="0" collapsed="false">
      <c r="A1962" s="15" t="s">
        <v>284</v>
      </c>
      <c r="B1962" s="15" t="s">
        <v>1973</v>
      </c>
    </row>
    <row r="1963" customFormat="false" ht="15" hidden="false" customHeight="false" outlineLevel="0" collapsed="false">
      <c r="B1963" s="16" t="str">
        <f aca="false">HYPERLINK("#Label!G92","← Back to label (row 92)")</f>
        <v>← Back to label (row 92)</v>
      </c>
    </row>
    <row r="1964" customFormat="false" ht="13.5" hidden="false" customHeight="true" outlineLevel="0" collapsed="false">
      <c r="A1964" s="17" t="s">
        <v>24</v>
      </c>
      <c r="B1964" s="18" t="s">
        <v>71</v>
      </c>
    </row>
    <row r="1965" customFormat="false" ht="13.5" hidden="false" customHeight="true" outlineLevel="0" collapsed="false">
      <c r="A1965" s="17" t="s">
        <v>450</v>
      </c>
      <c r="B1965" s="4" t="s">
        <v>1974</v>
      </c>
    </row>
    <row r="1966" customFormat="false" ht="13.5" hidden="false" customHeight="true" outlineLevel="0" collapsed="false">
      <c r="A1966" s="17" t="s">
        <v>454</v>
      </c>
      <c r="B1966" s="19" t="s">
        <v>486</v>
      </c>
    </row>
    <row r="1967" customFormat="false" ht="13.5" hidden="false" customHeight="true" outlineLevel="0" collapsed="false">
      <c r="A1967" s="17" t="s">
        <v>456</v>
      </c>
      <c r="B1967" s="20" t="s">
        <v>457</v>
      </c>
    </row>
    <row r="1968" customFormat="false" ht="13.5" hidden="false" customHeight="true" outlineLevel="0" collapsed="false">
      <c r="A1968" s="17" t="s">
        <v>729</v>
      </c>
      <c r="B1968" s="18" t="s">
        <v>1975</v>
      </c>
    </row>
    <row r="1969" customFormat="false" ht="27.75" hidden="false" customHeight="true" outlineLevel="0" collapsed="false">
      <c r="A1969" s="17"/>
      <c r="B1969" s="4" t="s">
        <v>1976</v>
      </c>
    </row>
    <row r="1970" customFormat="false" ht="13.5" hidden="false" customHeight="true" outlineLevel="0" collapsed="false">
      <c r="A1970" s="17"/>
      <c r="B1970" s="18" t="s">
        <v>1977</v>
      </c>
    </row>
    <row r="1971" customFormat="false" ht="13.5" hidden="false" customHeight="true" outlineLevel="0" collapsed="false">
      <c r="A1971" s="17"/>
      <c r="B1971" s="4" t="s">
        <v>1978</v>
      </c>
    </row>
    <row r="1972" customFormat="false" ht="13.5" hidden="false" customHeight="true" outlineLevel="0" collapsed="false">
      <c r="A1972" s="17"/>
      <c r="B1972" s="18" t="s">
        <v>1979</v>
      </c>
    </row>
    <row r="1973" customFormat="false" ht="27.75" hidden="false" customHeight="true" outlineLevel="0" collapsed="false">
      <c r="A1973" s="17"/>
      <c r="B1973" s="4" t="s">
        <v>1980</v>
      </c>
    </row>
    <row r="1974" customFormat="false" ht="13.5" hidden="false" customHeight="true" outlineLevel="0" collapsed="false">
      <c r="A1974" s="17"/>
      <c r="B1974" s="18" t="s">
        <v>1981</v>
      </c>
    </row>
    <row r="1975" customFormat="false" ht="13.5" hidden="false" customHeight="true" outlineLevel="0" collapsed="false">
      <c r="A1975" s="17"/>
      <c r="B1975" s="4" t="s">
        <v>1982</v>
      </c>
    </row>
    <row r="1976" customFormat="false" ht="27.75" hidden="false" customHeight="true" outlineLevel="0" collapsed="false">
      <c r="A1976" s="17"/>
      <c r="B1976" s="18" t="s">
        <v>1983</v>
      </c>
    </row>
    <row r="1977" customFormat="false" ht="27.75" hidden="false" customHeight="true" outlineLevel="0" collapsed="false">
      <c r="A1977" s="17"/>
      <c r="B1977" s="4" t="s">
        <v>1219</v>
      </c>
    </row>
    <row r="1978" customFormat="false" ht="13.5" hidden="false" customHeight="true" outlineLevel="0" collapsed="false">
      <c r="A1978" s="17"/>
      <c r="B1978" s="18" t="s">
        <v>1984</v>
      </c>
    </row>
    <row r="1981" customFormat="false" ht="15" hidden="false" customHeight="false" outlineLevel="0" collapsed="false">
      <c r="A1981" s="15" t="s">
        <v>286</v>
      </c>
      <c r="B1981" s="15" t="s">
        <v>1985</v>
      </c>
    </row>
    <row r="1982" customFormat="false" ht="15" hidden="false" customHeight="false" outlineLevel="0" collapsed="false">
      <c r="B1982" s="16" t="str">
        <f aca="false">HYPERLINK("#Label!G93","← Back to label (row 93)")</f>
        <v>← Back to label (row 93)</v>
      </c>
    </row>
    <row r="1983" customFormat="false" ht="13.5" hidden="false" customHeight="true" outlineLevel="0" collapsed="false">
      <c r="A1983" s="17" t="s">
        <v>24</v>
      </c>
      <c r="B1983" s="18" t="s">
        <v>49</v>
      </c>
    </row>
    <row r="1984" customFormat="false" ht="13.5" hidden="false" customHeight="true" outlineLevel="0" collapsed="false">
      <c r="A1984" s="17" t="s">
        <v>450</v>
      </c>
      <c r="B1984" s="4" t="s">
        <v>1986</v>
      </c>
    </row>
    <row r="1985" customFormat="false" ht="13.5" hidden="false" customHeight="true" outlineLevel="0" collapsed="false">
      <c r="A1985" s="17" t="s">
        <v>454</v>
      </c>
      <c r="B1985" s="19" t="s">
        <v>486</v>
      </c>
    </row>
    <row r="1986" customFormat="false" ht="13.5" hidden="false" customHeight="true" outlineLevel="0" collapsed="false">
      <c r="A1986" s="17" t="s">
        <v>456</v>
      </c>
      <c r="B1986" s="20" t="s">
        <v>457</v>
      </c>
    </row>
    <row r="1987" customFormat="false" ht="13.5" hidden="false" customHeight="true" outlineLevel="0" collapsed="false">
      <c r="A1987" s="17" t="s">
        <v>519</v>
      </c>
      <c r="B1987" s="18" t="s">
        <v>1987</v>
      </c>
    </row>
    <row r="1990" customFormat="false" ht="15" hidden="false" customHeight="false" outlineLevel="0" collapsed="false">
      <c r="A1990" s="15" t="s">
        <v>288</v>
      </c>
      <c r="B1990" s="15" t="s">
        <v>1988</v>
      </c>
    </row>
    <row r="1991" customFormat="false" ht="15" hidden="false" customHeight="false" outlineLevel="0" collapsed="false">
      <c r="B1991" s="16" t="str">
        <f aca="false">HYPERLINK("#Label!G94","← Back to label (row 94)")</f>
        <v>← Back to label (row 94)</v>
      </c>
    </row>
    <row r="1992" customFormat="false" ht="13.5" hidden="false" customHeight="true" outlineLevel="0" collapsed="false">
      <c r="A1992" s="17" t="s">
        <v>24</v>
      </c>
      <c r="B1992" s="18" t="s">
        <v>59</v>
      </c>
    </row>
    <row r="1993" customFormat="false" ht="13.5" hidden="false" customHeight="true" outlineLevel="0" collapsed="false">
      <c r="A1993" s="17" t="s">
        <v>450</v>
      </c>
      <c r="B1993" s="4" t="s">
        <v>1989</v>
      </c>
    </row>
    <row r="1994" customFormat="false" ht="13.5" hidden="false" customHeight="true" outlineLevel="0" collapsed="false">
      <c r="A1994" s="17" t="s">
        <v>452</v>
      </c>
      <c r="B1994" s="18" t="s">
        <v>1990</v>
      </c>
    </row>
    <row r="1995" customFormat="false" ht="42" hidden="false" customHeight="true" outlineLevel="0" collapsed="false">
      <c r="A1995" s="17" t="s">
        <v>454</v>
      </c>
      <c r="B1995" s="4" t="s">
        <v>1991</v>
      </c>
    </row>
    <row r="1996" customFormat="false" ht="13.5" hidden="false" customHeight="true" outlineLevel="0" collapsed="false">
      <c r="A1996" s="17" t="s">
        <v>456</v>
      </c>
      <c r="B1996" s="19" t="s">
        <v>457</v>
      </c>
    </row>
    <row r="1997" customFormat="false" ht="13.5" hidden="false" customHeight="true" outlineLevel="0" collapsed="false">
      <c r="A1997" s="17" t="s">
        <v>519</v>
      </c>
      <c r="B1997" s="4" t="s">
        <v>1992</v>
      </c>
    </row>
    <row r="2000" customFormat="false" ht="15" hidden="false" customHeight="false" outlineLevel="0" collapsed="false">
      <c r="A2000" s="15" t="s">
        <v>290</v>
      </c>
      <c r="B2000" s="15" t="s">
        <v>1993</v>
      </c>
    </row>
    <row r="2001" customFormat="false" ht="15" hidden="false" customHeight="false" outlineLevel="0" collapsed="false">
      <c r="B2001" s="16" t="str">
        <f aca="false">HYPERLINK("#Label!G95","← Back to label (row 95)")</f>
        <v>← Back to label (row 95)</v>
      </c>
    </row>
    <row r="2002" customFormat="false" ht="27.75" hidden="false" customHeight="true" outlineLevel="0" collapsed="false">
      <c r="A2002" s="17" t="s">
        <v>24</v>
      </c>
      <c r="B2002" s="18" t="s">
        <v>292</v>
      </c>
    </row>
    <row r="2003" customFormat="false" ht="13.5" hidden="false" customHeight="true" outlineLevel="0" collapsed="false">
      <c r="A2003" s="17" t="s">
        <v>450</v>
      </c>
      <c r="B2003" s="4" t="s">
        <v>1994</v>
      </c>
    </row>
    <row r="2004" customFormat="false" ht="13.5" hidden="false" customHeight="true" outlineLevel="0" collapsed="false">
      <c r="A2004" s="17" t="s">
        <v>452</v>
      </c>
      <c r="B2004" s="18" t="s">
        <v>1995</v>
      </c>
    </row>
    <row r="2005" customFormat="false" ht="97.5" hidden="false" customHeight="true" outlineLevel="0" collapsed="false">
      <c r="A2005" s="17" t="s">
        <v>454</v>
      </c>
      <c r="B2005" s="4" t="s">
        <v>1996</v>
      </c>
    </row>
    <row r="2006" customFormat="false" ht="13.5" hidden="false" customHeight="true" outlineLevel="0" collapsed="false">
      <c r="A2006" s="17" t="s">
        <v>456</v>
      </c>
      <c r="B2006" s="19" t="s">
        <v>457</v>
      </c>
    </row>
    <row r="2007" customFormat="false" ht="13.5" hidden="false" customHeight="true" outlineLevel="0" collapsed="false">
      <c r="A2007" s="17" t="s">
        <v>1997</v>
      </c>
      <c r="B2007" s="4" t="s">
        <v>1998</v>
      </c>
    </row>
    <row r="2008" customFormat="false" ht="13.5" hidden="false" customHeight="true" outlineLevel="0" collapsed="false">
      <c r="A2008" s="17"/>
      <c r="B2008" s="18" t="s">
        <v>1999</v>
      </c>
    </row>
    <row r="2009" customFormat="false" ht="13.5" hidden="false" customHeight="true" outlineLevel="0" collapsed="false">
      <c r="A2009" s="17"/>
      <c r="B2009" s="4" t="s">
        <v>2000</v>
      </c>
    </row>
    <row r="2010" customFormat="false" ht="13.5" hidden="false" customHeight="true" outlineLevel="0" collapsed="false">
      <c r="A2010" s="17"/>
      <c r="B2010" s="18" t="s">
        <v>2001</v>
      </c>
    </row>
    <row r="2011" customFormat="false" ht="13.5" hidden="false" customHeight="true" outlineLevel="0" collapsed="false">
      <c r="A2011" s="17"/>
      <c r="B2011" s="4" t="s">
        <v>2002</v>
      </c>
    </row>
    <row r="2012" customFormat="false" ht="13.5" hidden="false" customHeight="true" outlineLevel="0" collapsed="false">
      <c r="A2012" s="17"/>
      <c r="B2012" s="18" t="s">
        <v>2003</v>
      </c>
    </row>
    <row r="2013" customFormat="false" ht="13.5" hidden="false" customHeight="true" outlineLevel="0" collapsed="false">
      <c r="A2013" s="17"/>
      <c r="B2013" s="4" t="s">
        <v>2004</v>
      </c>
    </row>
    <row r="2014" customFormat="false" ht="13.5" hidden="false" customHeight="true" outlineLevel="0" collapsed="false">
      <c r="A2014" s="17"/>
      <c r="B2014" s="18" t="s">
        <v>1234</v>
      </c>
    </row>
    <row r="2015" customFormat="false" ht="13.5" hidden="false" customHeight="true" outlineLevel="0" collapsed="false">
      <c r="A2015" s="17"/>
      <c r="B2015" s="4" t="s">
        <v>2005</v>
      </c>
    </row>
    <row r="2016" customFormat="false" ht="27.75" hidden="false" customHeight="true" outlineLevel="0" collapsed="false">
      <c r="A2016" s="17"/>
      <c r="B2016" s="18" t="s">
        <v>2006</v>
      </c>
    </row>
    <row r="2017" customFormat="false" ht="13.5" hidden="false" customHeight="true" outlineLevel="0" collapsed="false">
      <c r="A2017" s="17"/>
      <c r="B2017" s="4" t="s">
        <v>2007</v>
      </c>
    </row>
    <row r="2018" customFormat="false" ht="13.5" hidden="false" customHeight="true" outlineLevel="0" collapsed="false">
      <c r="A2018" s="17"/>
      <c r="B2018" s="18" t="s">
        <v>2008</v>
      </c>
    </row>
    <row r="2019" customFormat="false" ht="13.5" hidden="false" customHeight="true" outlineLevel="0" collapsed="false">
      <c r="A2019" s="17"/>
      <c r="B2019" s="4" t="s">
        <v>2009</v>
      </c>
    </row>
    <row r="2020" customFormat="false" ht="13.5" hidden="false" customHeight="true" outlineLevel="0" collapsed="false">
      <c r="A2020" s="17"/>
      <c r="B2020" s="18" t="s">
        <v>2010</v>
      </c>
    </row>
    <row r="2021" customFormat="false" ht="13.5" hidden="false" customHeight="true" outlineLevel="0" collapsed="false">
      <c r="A2021" s="17"/>
      <c r="B2021" s="4" t="s">
        <v>2011</v>
      </c>
    </row>
    <row r="2022" customFormat="false" ht="13.5" hidden="false" customHeight="true" outlineLevel="0" collapsed="false">
      <c r="A2022" s="17"/>
      <c r="B2022" s="18" t="s">
        <v>2012</v>
      </c>
    </row>
    <row r="2023" customFormat="false" ht="13.5" hidden="false" customHeight="true" outlineLevel="0" collapsed="false">
      <c r="A2023" s="17"/>
      <c r="B2023" s="4" t="s">
        <v>2013</v>
      </c>
    </row>
    <row r="2024" customFormat="false" ht="27.75" hidden="false" customHeight="true" outlineLevel="0" collapsed="false">
      <c r="A2024" s="17"/>
      <c r="B2024" s="18" t="s">
        <v>2014</v>
      </c>
    </row>
    <row r="2025" customFormat="false" ht="13.5" hidden="false" customHeight="true" outlineLevel="0" collapsed="false">
      <c r="A2025" s="17"/>
      <c r="B2025" s="4" t="s">
        <v>2015</v>
      </c>
    </row>
    <row r="2026" customFormat="false" ht="27.75" hidden="false" customHeight="true" outlineLevel="0" collapsed="false">
      <c r="A2026" s="17"/>
      <c r="B2026" s="18" t="s">
        <v>2016</v>
      </c>
    </row>
    <row r="2027" customFormat="false" ht="13.5" hidden="false" customHeight="true" outlineLevel="0" collapsed="false">
      <c r="A2027" s="17"/>
      <c r="B2027" s="4" t="s">
        <v>2017</v>
      </c>
    </row>
    <row r="2028" customFormat="false" ht="13.5" hidden="false" customHeight="true" outlineLevel="0" collapsed="false">
      <c r="A2028" s="17"/>
      <c r="B2028" s="18" t="s">
        <v>2018</v>
      </c>
    </row>
    <row r="2029" customFormat="false" ht="13.5" hidden="false" customHeight="true" outlineLevel="0" collapsed="false">
      <c r="A2029" s="17"/>
      <c r="B2029" s="4" t="s">
        <v>2019</v>
      </c>
    </row>
    <row r="2030" customFormat="false" ht="13.5" hidden="false" customHeight="true" outlineLevel="0" collapsed="false">
      <c r="A2030" s="17"/>
      <c r="B2030" s="18" t="s">
        <v>2020</v>
      </c>
    </row>
    <row r="2031" customFormat="false" ht="13.5" hidden="false" customHeight="true" outlineLevel="0" collapsed="false">
      <c r="A2031" s="17"/>
      <c r="B2031" s="4" t="s">
        <v>2021</v>
      </c>
    </row>
    <row r="2032" customFormat="false" ht="13.5" hidden="false" customHeight="true" outlineLevel="0" collapsed="false">
      <c r="A2032" s="17"/>
      <c r="B2032" s="18" t="s">
        <v>2022</v>
      </c>
    </row>
    <row r="2033" customFormat="false" ht="13.5" hidden="false" customHeight="true" outlineLevel="0" collapsed="false">
      <c r="A2033" s="17"/>
      <c r="B2033" s="4" t="s">
        <v>2023</v>
      </c>
    </row>
    <row r="2034" customFormat="false" ht="27.75" hidden="false" customHeight="true" outlineLevel="0" collapsed="false">
      <c r="A2034" s="17"/>
      <c r="B2034" s="18" t="s">
        <v>2024</v>
      </c>
    </row>
    <row r="2035" customFormat="false" ht="13.5" hidden="false" customHeight="true" outlineLevel="0" collapsed="false">
      <c r="A2035" s="17"/>
      <c r="B2035" s="4" t="s">
        <v>2025</v>
      </c>
    </row>
    <row r="2038" customFormat="false" ht="15" hidden="false" customHeight="false" outlineLevel="0" collapsed="false">
      <c r="A2038" s="15" t="s">
        <v>294</v>
      </c>
      <c r="B2038" s="15" t="s">
        <v>2026</v>
      </c>
    </row>
    <row r="2039" customFormat="false" ht="15" hidden="false" customHeight="false" outlineLevel="0" collapsed="false">
      <c r="B2039" s="16" t="str">
        <f aca="false">HYPERLINK("#Label!G96","← Back to label (row 96)")</f>
        <v>← Back to label (row 96)</v>
      </c>
    </row>
    <row r="2040" customFormat="false" ht="13.5" hidden="false" customHeight="true" outlineLevel="0" collapsed="false">
      <c r="A2040" s="17" t="s">
        <v>24</v>
      </c>
      <c r="B2040" s="18" t="s">
        <v>296</v>
      </c>
    </row>
    <row r="2041" customFormat="false" ht="13.5" hidden="false" customHeight="true" outlineLevel="0" collapsed="false">
      <c r="A2041" s="17" t="s">
        <v>450</v>
      </c>
      <c r="B2041" s="4" t="s">
        <v>2027</v>
      </c>
    </row>
    <row r="2042" customFormat="false" ht="13.5" hidden="false" customHeight="true" outlineLevel="0" collapsed="false">
      <c r="A2042" s="17" t="s">
        <v>452</v>
      </c>
      <c r="B2042" s="18" t="s">
        <v>2028</v>
      </c>
    </row>
    <row r="2043" customFormat="false" ht="84" hidden="false" customHeight="true" outlineLevel="0" collapsed="false">
      <c r="A2043" s="17" t="s">
        <v>454</v>
      </c>
      <c r="B2043" s="4" t="s">
        <v>2029</v>
      </c>
    </row>
    <row r="2044" customFormat="false" ht="13.5" hidden="false" customHeight="true" outlineLevel="0" collapsed="false">
      <c r="A2044" s="17" t="s">
        <v>456</v>
      </c>
      <c r="B2044" s="19" t="s">
        <v>457</v>
      </c>
    </row>
    <row r="2045" customFormat="false" ht="13.5" hidden="false" customHeight="true" outlineLevel="0" collapsed="false">
      <c r="A2045" s="17" t="s">
        <v>519</v>
      </c>
      <c r="B2045" s="4" t="s">
        <v>2030</v>
      </c>
    </row>
    <row r="2048" customFormat="false" ht="15" hidden="false" customHeight="false" outlineLevel="0" collapsed="false">
      <c r="A2048" s="15" t="s">
        <v>297</v>
      </c>
      <c r="B2048" s="15" t="s">
        <v>2031</v>
      </c>
    </row>
    <row r="2049" customFormat="false" ht="15" hidden="false" customHeight="false" outlineLevel="0" collapsed="false">
      <c r="B2049" s="16" t="str">
        <f aca="false">HYPERLINK("#Label!G97","← Back to label (row 97)")</f>
        <v>← Back to label (row 97)</v>
      </c>
    </row>
    <row r="2050" customFormat="false" ht="13.5" hidden="false" customHeight="true" outlineLevel="0" collapsed="false">
      <c r="A2050" s="17" t="s">
        <v>24</v>
      </c>
      <c r="B2050" s="18" t="s">
        <v>299</v>
      </c>
    </row>
    <row r="2051" customFormat="false" ht="13.5" hidden="false" customHeight="true" outlineLevel="0" collapsed="false">
      <c r="A2051" s="17" t="s">
        <v>450</v>
      </c>
      <c r="B2051" s="4" t="s">
        <v>2032</v>
      </c>
    </row>
    <row r="2052" customFormat="false" ht="13.5" hidden="false" customHeight="true" outlineLevel="0" collapsed="false">
      <c r="A2052" s="17" t="s">
        <v>452</v>
      </c>
      <c r="B2052" s="18" t="s">
        <v>2033</v>
      </c>
    </row>
    <row r="2053" customFormat="false" ht="13.5" hidden="false" customHeight="true" outlineLevel="0" collapsed="false">
      <c r="A2053" s="17" t="s">
        <v>454</v>
      </c>
      <c r="B2053" s="20" t="s">
        <v>486</v>
      </c>
    </row>
    <row r="2054" customFormat="false" ht="27.75" hidden="false" customHeight="true" outlineLevel="0" collapsed="false">
      <c r="A2054" s="17" t="s">
        <v>456</v>
      </c>
      <c r="B2054" s="18" t="s">
        <v>2034</v>
      </c>
    </row>
    <row r="2055" customFormat="false" ht="13.5" hidden="false" customHeight="true" outlineLevel="0" collapsed="false">
      <c r="A2055" s="17" t="s">
        <v>2035</v>
      </c>
      <c r="B2055" s="4" t="s">
        <v>2036</v>
      </c>
    </row>
    <row r="2056" customFormat="false" ht="13.5" hidden="false" customHeight="true" outlineLevel="0" collapsed="false">
      <c r="A2056" s="17"/>
      <c r="B2056" s="18" t="s">
        <v>2037</v>
      </c>
    </row>
    <row r="2057" customFormat="false" ht="13.5" hidden="false" customHeight="true" outlineLevel="0" collapsed="false">
      <c r="A2057" s="17"/>
      <c r="B2057" s="4" t="s">
        <v>2038</v>
      </c>
    </row>
    <row r="2058" customFormat="false" ht="13.5" hidden="false" customHeight="true" outlineLevel="0" collapsed="false">
      <c r="A2058" s="17"/>
      <c r="B2058" s="18" t="s">
        <v>2039</v>
      </c>
    </row>
    <row r="2059" customFormat="false" ht="27.75" hidden="false" customHeight="true" outlineLevel="0" collapsed="false">
      <c r="A2059" s="17"/>
      <c r="B2059" s="4" t="s">
        <v>2040</v>
      </c>
    </row>
    <row r="2060" customFormat="false" ht="13.5" hidden="false" customHeight="true" outlineLevel="0" collapsed="false">
      <c r="A2060" s="17"/>
      <c r="B2060" s="18" t="s">
        <v>2041</v>
      </c>
    </row>
    <row r="2061" customFormat="false" ht="13.5" hidden="false" customHeight="true" outlineLevel="0" collapsed="false">
      <c r="A2061" s="17"/>
      <c r="B2061" s="4" t="s">
        <v>2042</v>
      </c>
    </row>
    <row r="2062" customFormat="false" ht="13.5" hidden="false" customHeight="true" outlineLevel="0" collapsed="false">
      <c r="A2062" s="17"/>
      <c r="B2062" s="18" t="s">
        <v>2043</v>
      </c>
    </row>
    <row r="2063" customFormat="false" ht="13.5" hidden="false" customHeight="true" outlineLevel="0" collapsed="false">
      <c r="A2063" s="17"/>
      <c r="B2063" s="4" t="s">
        <v>2044</v>
      </c>
    </row>
    <row r="2064" customFormat="false" ht="13.5" hidden="false" customHeight="true" outlineLevel="0" collapsed="false">
      <c r="A2064" s="17"/>
      <c r="B2064" s="18" t="s">
        <v>2045</v>
      </c>
    </row>
    <row r="2065" customFormat="false" ht="13.5" hidden="false" customHeight="true" outlineLevel="0" collapsed="false">
      <c r="A2065" s="17"/>
      <c r="B2065" s="4" t="s">
        <v>2046</v>
      </c>
    </row>
    <row r="2066" customFormat="false" ht="13.5" hidden="false" customHeight="true" outlineLevel="0" collapsed="false">
      <c r="A2066" s="17"/>
      <c r="B2066" s="18" t="s">
        <v>2047</v>
      </c>
    </row>
    <row r="2067" customFormat="false" ht="27.75" hidden="false" customHeight="true" outlineLevel="0" collapsed="false">
      <c r="A2067" s="17"/>
      <c r="B2067" s="4" t="s">
        <v>2048</v>
      </c>
    </row>
    <row r="2068" customFormat="false" ht="13.5" hidden="false" customHeight="true" outlineLevel="0" collapsed="false">
      <c r="A2068" s="17"/>
      <c r="B2068" s="18" t="s">
        <v>2049</v>
      </c>
    </row>
    <row r="2069" customFormat="false" ht="13.5" hidden="false" customHeight="true" outlineLevel="0" collapsed="false">
      <c r="A2069" s="17"/>
      <c r="B2069" s="4" t="s">
        <v>2050</v>
      </c>
    </row>
    <row r="2070" customFormat="false" ht="13.5" hidden="false" customHeight="true" outlineLevel="0" collapsed="false">
      <c r="A2070" s="17"/>
      <c r="B2070" s="18" t="s">
        <v>2051</v>
      </c>
    </row>
    <row r="2071" customFormat="false" ht="13.5" hidden="false" customHeight="true" outlineLevel="0" collapsed="false">
      <c r="A2071" s="17"/>
      <c r="B2071" s="4" t="s">
        <v>2052</v>
      </c>
    </row>
    <row r="2072" customFormat="false" ht="13.5" hidden="false" customHeight="true" outlineLevel="0" collapsed="false">
      <c r="A2072" s="17"/>
      <c r="B2072" s="18" t="s">
        <v>2053</v>
      </c>
    </row>
    <row r="2073" customFormat="false" ht="13.5" hidden="false" customHeight="true" outlineLevel="0" collapsed="false">
      <c r="A2073" s="17"/>
      <c r="B2073" s="4" t="s">
        <v>2054</v>
      </c>
    </row>
    <row r="2074" customFormat="false" ht="27.75" hidden="false" customHeight="true" outlineLevel="0" collapsed="false">
      <c r="A2074" s="17"/>
      <c r="B2074" s="18" t="s">
        <v>2055</v>
      </c>
    </row>
    <row r="2075" customFormat="false" ht="27.75" hidden="false" customHeight="true" outlineLevel="0" collapsed="false">
      <c r="A2075" s="17"/>
      <c r="B2075" s="4" t="s">
        <v>2056</v>
      </c>
    </row>
    <row r="2076" customFormat="false" ht="13.5" hidden="false" customHeight="true" outlineLevel="0" collapsed="false">
      <c r="A2076" s="17"/>
      <c r="B2076" s="18" t="s">
        <v>2057</v>
      </c>
    </row>
    <row r="2077" customFormat="false" ht="13.5" hidden="false" customHeight="true" outlineLevel="0" collapsed="false">
      <c r="A2077" s="17"/>
      <c r="B2077" s="4" t="s">
        <v>2058</v>
      </c>
    </row>
    <row r="2078" customFormat="false" ht="13.5" hidden="false" customHeight="true" outlineLevel="0" collapsed="false">
      <c r="A2078" s="17"/>
      <c r="B2078" s="18" t="s">
        <v>2059</v>
      </c>
    </row>
    <row r="2079" customFormat="false" ht="13.5" hidden="false" customHeight="true" outlineLevel="0" collapsed="false">
      <c r="A2079" s="17"/>
      <c r="B2079" s="4" t="s">
        <v>2060</v>
      </c>
    </row>
    <row r="2080" customFormat="false" ht="13.5" hidden="false" customHeight="true" outlineLevel="0" collapsed="false">
      <c r="A2080" s="17"/>
      <c r="B2080" s="18" t="s">
        <v>2061</v>
      </c>
    </row>
    <row r="2081" customFormat="false" ht="13.5" hidden="false" customHeight="true" outlineLevel="0" collapsed="false">
      <c r="A2081" s="17"/>
      <c r="B2081" s="4" t="s">
        <v>2062</v>
      </c>
    </row>
    <row r="2082" customFormat="false" ht="13.5" hidden="false" customHeight="true" outlineLevel="0" collapsed="false">
      <c r="A2082" s="17"/>
      <c r="B2082" s="18" t="s">
        <v>2063</v>
      </c>
    </row>
    <row r="2083" customFormat="false" ht="13.5" hidden="false" customHeight="true" outlineLevel="0" collapsed="false">
      <c r="A2083" s="17"/>
      <c r="B2083" s="4" t="s">
        <v>2064</v>
      </c>
    </row>
    <row r="2084" customFormat="false" ht="13.5" hidden="false" customHeight="true" outlineLevel="0" collapsed="false">
      <c r="A2084" s="17"/>
      <c r="B2084" s="18" t="s">
        <v>2065</v>
      </c>
    </row>
    <row r="2085" customFormat="false" ht="13.5" hidden="false" customHeight="true" outlineLevel="0" collapsed="false">
      <c r="A2085" s="17"/>
      <c r="B2085" s="4" t="s">
        <v>2066</v>
      </c>
    </row>
    <row r="2086" customFormat="false" ht="27.75" hidden="false" customHeight="true" outlineLevel="0" collapsed="false">
      <c r="A2086" s="17"/>
      <c r="B2086" s="18" t="s">
        <v>2067</v>
      </c>
    </row>
    <row r="2087" customFormat="false" ht="13.5" hidden="false" customHeight="true" outlineLevel="0" collapsed="false">
      <c r="A2087" s="17"/>
      <c r="B2087" s="4" t="s">
        <v>2068</v>
      </c>
    </row>
    <row r="2088" customFormat="false" ht="13.5" hidden="false" customHeight="true" outlineLevel="0" collapsed="false">
      <c r="A2088" s="17"/>
      <c r="B2088" s="18" t="s">
        <v>2069</v>
      </c>
    </row>
    <row r="2089" customFormat="false" ht="13.5" hidden="false" customHeight="true" outlineLevel="0" collapsed="false">
      <c r="A2089" s="17"/>
      <c r="B2089" s="4" t="s">
        <v>2070</v>
      </c>
    </row>
    <row r="2090" customFormat="false" ht="13.5" hidden="false" customHeight="true" outlineLevel="0" collapsed="false">
      <c r="A2090" s="17"/>
      <c r="B2090" s="18" t="s">
        <v>2071</v>
      </c>
    </row>
    <row r="2091" customFormat="false" ht="27.75" hidden="false" customHeight="true" outlineLevel="0" collapsed="false">
      <c r="A2091" s="17"/>
      <c r="B2091" s="4" t="s">
        <v>2072</v>
      </c>
    </row>
    <row r="2092" customFormat="false" ht="13.5" hidden="false" customHeight="true" outlineLevel="0" collapsed="false">
      <c r="A2092" s="17"/>
      <c r="B2092" s="18" t="s">
        <v>2073</v>
      </c>
    </row>
    <row r="2093" customFormat="false" ht="27.75" hidden="false" customHeight="true" outlineLevel="0" collapsed="false">
      <c r="A2093" s="17"/>
      <c r="B2093" s="4" t="s">
        <v>2074</v>
      </c>
    </row>
    <row r="2094" customFormat="false" ht="13.5" hidden="false" customHeight="true" outlineLevel="0" collapsed="false">
      <c r="A2094" s="17"/>
      <c r="B2094" s="18" t="s">
        <v>2075</v>
      </c>
    </row>
    <row r="2095" customFormat="false" ht="13.5" hidden="false" customHeight="true" outlineLevel="0" collapsed="false">
      <c r="A2095" s="17"/>
      <c r="B2095" s="4" t="s">
        <v>2076</v>
      </c>
    </row>
    <row r="2096" customFormat="false" ht="13.5" hidden="false" customHeight="true" outlineLevel="0" collapsed="false">
      <c r="A2096" s="17"/>
      <c r="B2096" s="18" t="s">
        <v>2077</v>
      </c>
    </row>
    <row r="2097" customFormat="false" ht="13.5" hidden="false" customHeight="true" outlineLevel="0" collapsed="false">
      <c r="A2097" s="17"/>
      <c r="B2097" s="4" t="s">
        <v>2078</v>
      </c>
    </row>
    <row r="2098" customFormat="false" ht="13.5" hidden="false" customHeight="true" outlineLevel="0" collapsed="false">
      <c r="A2098" s="17"/>
      <c r="B2098" s="18" t="s">
        <v>2079</v>
      </c>
    </row>
    <row r="2099" customFormat="false" ht="13.5" hidden="false" customHeight="true" outlineLevel="0" collapsed="false">
      <c r="A2099" s="17"/>
      <c r="B2099" s="4" t="s">
        <v>2080</v>
      </c>
    </row>
    <row r="2100" customFormat="false" ht="13.5" hidden="false" customHeight="true" outlineLevel="0" collapsed="false">
      <c r="A2100" s="17"/>
      <c r="B2100" s="18" t="s">
        <v>2081</v>
      </c>
    </row>
    <row r="2101" customFormat="false" ht="27.75" hidden="false" customHeight="true" outlineLevel="0" collapsed="false">
      <c r="A2101" s="17"/>
      <c r="B2101" s="4" t="s">
        <v>2082</v>
      </c>
    </row>
    <row r="2102" customFormat="false" ht="27.75" hidden="false" customHeight="true" outlineLevel="0" collapsed="false">
      <c r="A2102" s="17"/>
      <c r="B2102" s="18" t="s">
        <v>2083</v>
      </c>
    </row>
    <row r="2103" customFormat="false" ht="13.5" hidden="false" customHeight="true" outlineLevel="0" collapsed="false">
      <c r="A2103" s="17"/>
      <c r="B2103" s="4" t="s">
        <v>2084</v>
      </c>
    </row>
    <row r="2104" customFormat="false" ht="13.5" hidden="false" customHeight="true" outlineLevel="0" collapsed="false">
      <c r="A2104" s="17"/>
      <c r="B2104" s="18" t="s">
        <v>2085</v>
      </c>
    </row>
    <row r="2105" customFormat="false" ht="13.5" hidden="false" customHeight="true" outlineLevel="0" collapsed="false">
      <c r="A2105" s="17"/>
      <c r="B2105" s="4" t="s">
        <v>2086</v>
      </c>
    </row>
    <row r="2106" customFormat="false" ht="13.5" hidden="false" customHeight="true" outlineLevel="0" collapsed="false">
      <c r="A2106" s="17"/>
      <c r="B2106" s="18" t="s">
        <v>2087</v>
      </c>
    </row>
    <row r="2107" customFormat="false" ht="13.5" hidden="false" customHeight="true" outlineLevel="0" collapsed="false">
      <c r="A2107" s="17"/>
      <c r="B2107" s="4" t="s">
        <v>2088</v>
      </c>
    </row>
    <row r="2108" customFormat="false" ht="13.5" hidden="false" customHeight="true" outlineLevel="0" collapsed="false">
      <c r="A2108" s="17"/>
      <c r="B2108" s="18" t="s">
        <v>2089</v>
      </c>
    </row>
    <row r="2109" customFormat="false" ht="13.5" hidden="false" customHeight="true" outlineLevel="0" collapsed="false">
      <c r="A2109" s="17"/>
      <c r="B2109" s="4" t="s">
        <v>2090</v>
      </c>
    </row>
    <row r="2110" customFormat="false" ht="13.5" hidden="false" customHeight="true" outlineLevel="0" collapsed="false">
      <c r="A2110" s="17"/>
      <c r="B2110" s="18" t="s">
        <v>2091</v>
      </c>
    </row>
    <row r="2111" customFormat="false" ht="13.5" hidden="false" customHeight="true" outlineLevel="0" collapsed="false">
      <c r="A2111" s="17"/>
      <c r="B2111" s="4" t="s">
        <v>2092</v>
      </c>
    </row>
    <row r="2112" customFormat="false" ht="13.5" hidden="false" customHeight="true" outlineLevel="0" collapsed="false">
      <c r="A2112" s="17"/>
      <c r="B2112" s="18" t="s">
        <v>2093</v>
      </c>
    </row>
    <row r="2113" customFormat="false" ht="13.5" hidden="false" customHeight="true" outlineLevel="0" collapsed="false">
      <c r="A2113" s="17"/>
      <c r="B2113" s="4" t="s">
        <v>2094</v>
      </c>
    </row>
    <row r="2114" customFormat="false" ht="13.5" hidden="false" customHeight="true" outlineLevel="0" collapsed="false">
      <c r="A2114" s="17"/>
      <c r="B2114" s="18" t="s">
        <v>2095</v>
      </c>
    </row>
    <row r="2115" customFormat="false" ht="13.5" hidden="false" customHeight="true" outlineLevel="0" collapsed="false">
      <c r="A2115" s="17"/>
      <c r="B2115" s="20" t="s">
        <v>2096</v>
      </c>
    </row>
    <row r="2118" customFormat="false" ht="15" hidden="false" customHeight="false" outlineLevel="0" collapsed="false">
      <c r="A2118" s="15" t="s">
        <v>300</v>
      </c>
      <c r="B2118" s="15" t="s">
        <v>2097</v>
      </c>
    </row>
    <row r="2119" customFormat="false" ht="15" hidden="false" customHeight="false" outlineLevel="0" collapsed="false">
      <c r="B2119" s="16" t="str">
        <f aca="false">HYPERLINK("#Label!G98","← Back to label (row 98)")</f>
        <v>← Back to label (row 98)</v>
      </c>
    </row>
    <row r="2120" customFormat="false" ht="13.5" hidden="false" customHeight="true" outlineLevel="0" collapsed="false">
      <c r="A2120" s="17" t="s">
        <v>24</v>
      </c>
      <c r="B2120" s="18" t="s">
        <v>302</v>
      </c>
    </row>
    <row r="2121" customFormat="false" ht="13.5" hidden="false" customHeight="true" outlineLevel="0" collapsed="false">
      <c r="A2121" s="17" t="s">
        <v>450</v>
      </c>
      <c r="B2121" s="4" t="s">
        <v>2098</v>
      </c>
    </row>
    <row r="2122" customFormat="false" ht="13.5" hidden="false" customHeight="true" outlineLevel="0" collapsed="false">
      <c r="A2122" s="17" t="s">
        <v>452</v>
      </c>
      <c r="B2122" s="18" t="s">
        <v>2099</v>
      </c>
    </row>
    <row r="2123" customFormat="false" ht="126" hidden="false" customHeight="true" outlineLevel="0" collapsed="false">
      <c r="A2123" s="17" t="s">
        <v>454</v>
      </c>
      <c r="B2123" s="4" t="s">
        <v>2100</v>
      </c>
    </row>
    <row r="2124" customFormat="false" ht="13.5" hidden="false" customHeight="true" outlineLevel="0" collapsed="false">
      <c r="A2124" s="17" t="s">
        <v>456</v>
      </c>
      <c r="B2124" s="18" t="s">
        <v>2101</v>
      </c>
    </row>
    <row r="2125" customFormat="false" ht="13.5" hidden="false" customHeight="true" outlineLevel="0" collapsed="false">
      <c r="A2125" s="17" t="s">
        <v>2102</v>
      </c>
      <c r="B2125" s="4" t="s">
        <v>2103</v>
      </c>
    </row>
    <row r="2126" customFormat="false" ht="13.5" hidden="false" customHeight="true" outlineLevel="0" collapsed="false">
      <c r="A2126" s="17"/>
      <c r="B2126" s="18" t="s">
        <v>2104</v>
      </c>
    </row>
    <row r="2127" customFormat="false" ht="27.75" hidden="false" customHeight="true" outlineLevel="0" collapsed="false">
      <c r="A2127" s="17"/>
      <c r="B2127" s="4" t="s">
        <v>2105</v>
      </c>
    </row>
    <row r="2128" customFormat="false" ht="13.5" hidden="false" customHeight="true" outlineLevel="0" collapsed="false">
      <c r="A2128" s="17"/>
      <c r="B2128" s="18" t="s">
        <v>2106</v>
      </c>
    </row>
    <row r="2129" customFormat="false" ht="13.5" hidden="false" customHeight="true" outlineLevel="0" collapsed="false">
      <c r="A2129" s="17"/>
      <c r="B2129" s="4" t="s">
        <v>2107</v>
      </c>
    </row>
    <row r="2130" customFormat="false" ht="13.5" hidden="false" customHeight="true" outlineLevel="0" collapsed="false">
      <c r="A2130" s="17"/>
      <c r="B2130" s="18" t="s">
        <v>2108</v>
      </c>
    </row>
    <row r="2131" customFormat="false" ht="13.5" hidden="false" customHeight="true" outlineLevel="0" collapsed="false">
      <c r="A2131" s="17"/>
      <c r="B2131" s="4" t="s">
        <v>2109</v>
      </c>
    </row>
    <row r="2132" customFormat="false" ht="13.5" hidden="false" customHeight="true" outlineLevel="0" collapsed="false">
      <c r="A2132" s="17"/>
      <c r="B2132" s="18" t="s">
        <v>2110</v>
      </c>
    </row>
    <row r="2133" customFormat="false" ht="13.5" hidden="false" customHeight="true" outlineLevel="0" collapsed="false">
      <c r="A2133" s="17"/>
      <c r="B2133" s="4" t="s">
        <v>2111</v>
      </c>
    </row>
    <row r="2134" customFormat="false" ht="13.5" hidden="false" customHeight="true" outlineLevel="0" collapsed="false">
      <c r="A2134" s="17"/>
      <c r="B2134" s="18" t="s">
        <v>2112</v>
      </c>
    </row>
    <row r="2135" customFormat="false" ht="13.5" hidden="false" customHeight="true" outlineLevel="0" collapsed="false">
      <c r="A2135" s="17"/>
      <c r="B2135" s="4" t="s">
        <v>2113</v>
      </c>
    </row>
    <row r="2136" customFormat="false" ht="13.5" hidden="false" customHeight="true" outlineLevel="0" collapsed="false">
      <c r="A2136" s="17"/>
      <c r="B2136" s="18" t="s">
        <v>2114</v>
      </c>
    </row>
    <row r="2137" customFormat="false" ht="13.5" hidden="false" customHeight="true" outlineLevel="0" collapsed="false">
      <c r="A2137" s="17"/>
      <c r="B2137" s="4" t="s">
        <v>2115</v>
      </c>
    </row>
    <row r="2138" customFormat="false" ht="13.5" hidden="false" customHeight="true" outlineLevel="0" collapsed="false">
      <c r="A2138" s="17"/>
      <c r="B2138" s="18" t="s">
        <v>2116</v>
      </c>
    </row>
    <row r="2139" customFormat="false" ht="13.5" hidden="false" customHeight="true" outlineLevel="0" collapsed="false">
      <c r="A2139" s="17"/>
      <c r="B2139" s="4" t="s">
        <v>2117</v>
      </c>
    </row>
    <row r="2140" customFormat="false" ht="13.5" hidden="false" customHeight="true" outlineLevel="0" collapsed="false">
      <c r="A2140" s="17"/>
      <c r="B2140" s="18" t="s">
        <v>2118</v>
      </c>
    </row>
    <row r="2141" customFormat="false" ht="13.5" hidden="false" customHeight="true" outlineLevel="0" collapsed="false">
      <c r="A2141" s="17"/>
      <c r="B2141" s="4" t="s">
        <v>2119</v>
      </c>
    </row>
    <row r="2142" customFormat="false" ht="13.5" hidden="false" customHeight="true" outlineLevel="0" collapsed="false">
      <c r="A2142" s="17"/>
      <c r="B2142" s="18" t="s">
        <v>2120</v>
      </c>
    </row>
    <row r="2143" customFormat="false" ht="13.5" hidden="false" customHeight="true" outlineLevel="0" collapsed="false">
      <c r="A2143" s="17"/>
      <c r="B2143" s="4" t="s">
        <v>2121</v>
      </c>
    </row>
    <row r="2144" customFormat="false" ht="13.5" hidden="false" customHeight="true" outlineLevel="0" collapsed="false">
      <c r="A2144" s="17"/>
      <c r="B2144" s="18" t="s">
        <v>2122</v>
      </c>
    </row>
    <row r="2145" customFormat="false" ht="13.5" hidden="false" customHeight="true" outlineLevel="0" collapsed="false">
      <c r="A2145" s="17"/>
      <c r="B2145" s="4" t="s">
        <v>2123</v>
      </c>
    </row>
    <row r="2146" customFormat="false" ht="13.5" hidden="false" customHeight="true" outlineLevel="0" collapsed="false">
      <c r="A2146" s="17"/>
      <c r="B2146" s="18" t="s">
        <v>2124</v>
      </c>
    </row>
    <row r="2147" customFormat="false" ht="13.5" hidden="false" customHeight="true" outlineLevel="0" collapsed="false">
      <c r="A2147" s="17"/>
      <c r="B2147" s="4" t="s">
        <v>2125</v>
      </c>
    </row>
    <row r="2150" customFormat="false" ht="15" hidden="false" customHeight="false" outlineLevel="0" collapsed="false">
      <c r="A2150" s="15" t="s">
        <v>303</v>
      </c>
      <c r="B2150" s="15" t="s">
        <v>2126</v>
      </c>
    </row>
    <row r="2151" customFormat="false" ht="15" hidden="false" customHeight="false" outlineLevel="0" collapsed="false">
      <c r="B2151" s="16" t="str">
        <f aca="false">HYPERLINK("#Label!G99","← Back to label (row 99)")</f>
        <v>← Back to label (row 99)</v>
      </c>
    </row>
    <row r="2152" customFormat="false" ht="13.5" hidden="false" customHeight="true" outlineLevel="0" collapsed="false">
      <c r="A2152" s="17" t="s">
        <v>24</v>
      </c>
      <c r="B2152" s="18" t="s">
        <v>176</v>
      </c>
    </row>
    <row r="2153" customFormat="false" ht="13.5" hidden="false" customHeight="true" outlineLevel="0" collapsed="false">
      <c r="A2153" s="17" t="s">
        <v>450</v>
      </c>
      <c r="B2153" s="4" t="s">
        <v>2127</v>
      </c>
    </row>
    <row r="2154" customFormat="false" ht="13.5" hidden="false" customHeight="true" outlineLevel="0" collapsed="false">
      <c r="A2154" s="17" t="s">
        <v>454</v>
      </c>
      <c r="B2154" s="19" t="s">
        <v>486</v>
      </c>
    </row>
    <row r="2155" customFormat="false" ht="13.5" hidden="false" customHeight="true" outlineLevel="0" collapsed="false">
      <c r="A2155" s="17" t="s">
        <v>456</v>
      </c>
      <c r="B2155" s="20" t="s">
        <v>457</v>
      </c>
    </row>
    <row r="2156" customFormat="false" ht="13.5" hidden="false" customHeight="true" outlineLevel="0" collapsed="false">
      <c r="A2156" s="17" t="s">
        <v>514</v>
      </c>
      <c r="B2156" s="18" t="s">
        <v>2128</v>
      </c>
    </row>
    <row r="2157" customFormat="false" ht="13.5" hidden="false" customHeight="true" outlineLevel="0" collapsed="false">
      <c r="A2157" s="17"/>
      <c r="B2157" s="4" t="s">
        <v>2129</v>
      </c>
    </row>
    <row r="2160" customFormat="false" ht="15" hidden="false" customHeight="false" outlineLevel="0" collapsed="false">
      <c r="A2160" s="15" t="s">
        <v>305</v>
      </c>
      <c r="B2160" s="15" t="s">
        <v>2130</v>
      </c>
    </row>
    <row r="2161" customFormat="false" ht="15" hidden="false" customHeight="false" outlineLevel="0" collapsed="false">
      <c r="B2161" s="16" t="str">
        <f aca="false">HYPERLINK("#Label!G100","← Back to label (row 100)")</f>
        <v>← Back to label (row 100)</v>
      </c>
    </row>
    <row r="2162" customFormat="false" ht="13.5" hidden="false" customHeight="true" outlineLevel="0" collapsed="false">
      <c r="A2162" s="17" t="s">
        <v>24</v>
      </c>
      <c r="B2162" s="18" t="s">
        <v>45</v>
      </c>
    </row>
    <row r="2163" customFormat="false" ht="13.5" hidden="false" customHeight="true" outlineLevel="0" collapsed="false">
      <c r="A2163" s="17" t="s">
        <v>450</v>
      </c>
      <c r="B2163" s="4" t="s">
        <v>2131</v>
      </c>
    </row>
    <row r="2164" customFormat="false" ht="13.5" hidden="false" customHeight="true" outlineLevel="0" collapsed="false">
      <c r="A2164" s="17" t="s">
        <v>454</v>
      </c>
      <c r="B2164" s="19" t="s">
        <v>486</v>
      </c>
    </row>
    <row r="2165" customFormat="false" ht="13.5" hidden="false" customHeight="true" outlineLevel="0" collapsed="false">
      <c r="A2165" s="17" t="s">
        <v>456</v>
      </c>
      <c r="B2165" s="20" t="s">
        <v>457</v>
      </c>
    </row>
    <row r="2166" customFormat="false" ht="13.5" hidden="false" customHeight="true" outlineLevel="0" collapsed="false">
      <c r="A2166" s="17" t="s">
        <v>514</v>
      </c>
      <c r="B2166" s="18" t="s">
        <v>2132</v>
      </c>
    </row>
    <row r="2167" customFormat="false" ht="13.5" hidden="false" customHeight="true" outlineLevel="0" collapsed="false">
      <c r="A2167" s="17"/>
      <c r="B2167" s="4" t="s">
        <v>2133</v>
      </c>
    </row>
    <row r="2170" customFormat="false" ht="15" hidden="false" customHeight="false" outlineLevel="0" collapsed="false">
      <c r="A2170" s="15" t="s">
        <v>307</v>
      </c>
      <c r="B2170" s="15" t="s">
        <v>2134</v>
      </c>
    </row>
    <row r="2171" customFormat="false" ht="15" hidden="false" customHeight="false" outlineLevel="0" collapsed="false">
      <c r="B2171" s="16" t="str">
        <f aca="false">HYPERLINK("#Label!G101","← Back to label (row 101)")</f>
        <v>← Back to label (row 101)</v>
      </c>
    </row>
    <row r="2172" customFormat="false" ht="55.5" hidden="false" customHeight="true" outlineLevel="0" collapsed="false">
      <c r="A2172" s="17" t="s">
        <v>24</v>
      </c>
      <c r="B2172" s="18" t="s">
        <v>2135</v>
      </c>
    </row>
    <row r="2173" customFormat="false" ht="13.5" hidden="false" customHeight="true" outlineLevel="0" collapsed="false">
      <c r="A2173" s="17" t="s">
        <v>450</v>
      </c>
      <c r="B2173" s="4" t="s">
        <v>2136</v>
      </c>
    </row>
    <row r="2174" customFormat="false" ht="13.5" hidden="false" customHeight="true" outlineLevel="0" collapsed="false">
      <c r="A2174" s="17" t="s">
        <v>452</v>
      </c>
      <c r="B2174" s="18" t="s">
        <v>2137</v>
      </c>
    </row>
    <row r="2175" customFormat="false" ht="84" hidden="false" customHeight="true" outlineLevel="0" collapsed="false">
      <c r="A2175" s="17" t="s">
        <v>454</v>
      </c>
      <c r="B2175" s="4" t="s">
        <v>2138</v>
      </c>
    </row>
    <row r="2176" customFormat="false" ht="13.5" hidden="false" customHeight="true" outlineLevel="0" collapsed="false">
      <c r="A2176" s="17" t="s">
        <v>456</v>
      </c>
      <c r="B2176" s="18" t="s">
        <v>2139</v>
      </c>
    </row>
    <row r="2177" customFormat="false" ht="13.5" hidden="false" customHeight="true" outlineLevel="0" collapsed="false">
      <c r="A2177" s="17" t="s">
        <v>2140</v>
      </c>
      <c r="B2177" s="4" t="s">
        <v>2141</v>
      </c>
    </row>
    <row r="2178" customFormat="false" ht="13.5" hidden="false" customHeight="true" outlineLevel="0" collapsed="false">
      <c r="A2178" s="17"/>
      <c r="B2178" s="18" t="s">
        <v>2142</v>
      </c>
    </row>
    <row r="2179" customFormat="false" ht="27.75" hidden="false" customHeight="true" outlineLevel="0" collapsed="false">
      <c r="A2179" s="17"/>
      <c r="B2179" s="4" t="s">
        <v>2143</v>
      </c>
    </row>
    <row r="2180" customFormat="false" ht="13.5" hidden="false" customHeight="true" outlineLevel="0" collapsed="false">
      <c r="A2180" s="17"/>
      <c r="B2180" s="18" t="s">
        <v>2144</v>
      </c>
    </row>
    <row r="2181" customFormat="false" ht="13.5" hidden="false" customHeight="true" outlineLevel="0" collapsed="false">
      <c r="A2181" s="17"/>
      <c r="B2181" s="4" t="s">
        <v>2145</v>
      </c>
    </row>
    <row r="2182" customFormat="false" ht="13.5" hidden="false" customHeight="true" outlineLevel="0" collapsed="false">
      <c r="A2182" s="17"/>
      <c r="B2182" s="18" t="s">
        <v>2146</v>
      </c>
    </row>
    <row r="2183" customFormat="false" ht="13.5" hidden="false" customHeight="true" outlineLevel="0" collapsed="false">
      <c r="A2183" s="17"/>
      <c r="B2183" s="4" t="s">
        <v>2147</v>
      </c>
    </row>
    <row r="2184" customFormat="false" ht="13.5" hidden="false" customHeight="true" outlineLevel="0" collapsed="false">
      <c r="A2184" s="17"/>
      <c r="B2184" s="18" t="s">
        <v>2148</v>
      </c>
    </row>
    <row r="2185" customFormat="false" ht="13.5" hidden="false" customHeight="true" outlineLevel="0" collapsed="false">
      <c r="A2185" s="17"/>
      <c r="B2185" s="4" t="s">
        <v>2149</v>
      </c>
    </row>
    <row r="2186" customFormat="false" ht="13.5" hidden="false" customHeight="true" outlineLevel="0" collapsed="false">
      <c r="A2186" s="17"/>
      <c r="B2186" s="18" t="s">
        <v>2150</v>
      </c>
    </row>
    <row r="2187" customFormat="false" ht="13.5" hidden="false" customHeight="true" outlineLevel="0" collapsed="false">
      <c r="A2187" s="17"/>
      <c r="B2187" s="4" t="s">
        <v>2151</v>
      </c>
    </row>
    <row r="2188" customFormat="false" ht="13.5" hidden="false" customHeight="true" outlineLevel="0" collapsed="false">
      <c r="A2188" s="17"/>
      <c r="B2188" s="18" t="s">
        <v>2152</v>
      </c>
    </row>
    <row r="2189" customFormat="false" ht="13.5" hidden="false" customHeight="true" outlineLevel="0" collapsed="false">
      <c r="A2189" s="17"/>
      <c r="B2189" s="4" t="s">
        <v>2153</v>
      </c>
    </row>
    <row r="2190" customFormat="false" ht="13.5" hidden="false" customHeight="true" outlineLevel="0" collapsed="false">
      <c r="A2190" s="17"/>
      <c r="B2190" s="18" t="s">
        <v>2154</v>
      </c>
    </row>
    <row r="2191" customFormat="false" ht="13.5" hidden="false" customHeight="true" outlineLevel="0" collapsed="false">
      <c r="A2191" s="17"/>
      <c r="B2191" s="4" t="s">
        <v>2155</v>
      </c>
    </row>
    <row r="2192" customFormat="false" ht="13.5" hidden="false" customHeight="true" outlineLevel="0" collapsed="false">
      <c r="A2192" s="17"/>
      <c r="B2192" s="18" t="s">
        <v>2156</v>
      </c>
    </row>
    <row r="2193" customFormat="false" ht="13.5" hidden="false" customHeight="true" outlineLevel="0" collapsed="false">
      <c r="A2193" s="17"/>
      <c r="B2193" s="4" t="s">
        <v>2157</v>
      </c>
    </row>
    <row r="2194" customFormat="false" ht="13.5" hidden="false" customHeight="true" outlineLevel="0" collapsed="false">
      <c r="A2194" s="17"/>
      <c r="B2194" s="18" t="s">
        <v>2158</v>
      </c>
    </row>
    <row r="2195" customFormat="false" ht="13.5" hidden="false" customHeight="true" outlineLevel="0" collapsed="false">
      <c r="A2195" s="17"/>
      <c r="B2195" s="4" t="s">
        <v>2159</v>
      </c>
    </row>
    <row r="2196" customFormat="false" ht="13.5" hidden="false" customHeight="true" outlineLevel="0" collapsed="false">
      <c r="A2196" s="17"/>
      <c r="B2196" s="18" t="s">
        <v>2160</v>
      </c>
    </row>
    <row r="2197" customFormat="false" ht="27.75" hidden="false" customHeight="true" outlineLevel="0" collapsed="false">
      <c r="A2197" s="17"/>
      <c r="B2197" s="4" t="s">
        <v>2161</v>
      </c>
    </row>
    <row r="2198" customFormat="false" ht="13.5" hidden="false" customHeight="true" outlineLevel="0" collapsed="false">
      <c r="A2198" s="17"/>
      <c r="B2198" s="18" t="s">
        <v>2162</v>
      </c>
    </row>
    <row r="2199" customFormat="false" ht="13.5" hidden="false" customHeight="true" outlineLevel="0" collapsed="false">
      <c r="A2199" s="17"/>
      <c r="B2199" s="4" t="s">
        <v>2163</v>
      </c>
    </row>
    <row r="2200" customFormat="false" ht="13.5" hidden="false" customHeight="true" outlineLevel="0" collapsed="false">
      <c r="A2200" s="17"/>
      <c r="B2200" s="18" t="s">
        <v>2164</v>
      </c>
    </row>
    <row r="2201" customFormat="false" ht="13.5" hidden="false" customHeight="true" outlineLevel="0" collapsed="false">
      <c r="A2201" s="17"/>
      <c r="B2201" s="4" t="s">
        <v>2165</v>
      </c>
    </row>
    <row r="2202" customFormat="false" ht="13.5" hidden="false" customHeight="true" outlineLevel="0" collapsed="false">
      <c r="A2202" s="17"/>
      <c r="B2202" s="18" t="s">
        <v>2166</v>
      </c>
    </row>
    <row r="2203" customFormat="false" ht="13.5" hidden="false" customHeight="true" outlineLevel="0" collapsed="false">
      <c r="A2203" s="17"/>
      <c r="B2203" s="4" t="s">
        <v>2167</v>
      </c>
    </row>
    <row r="2204" customFormat="false" ht="13.5" hidden="false" customHeight="true" outlineLevel="0" collapsed="false">
      <c r="A2204" s="17"/>
      <c r="B2204" s="18" t="s">
        <v>2168</v>
      </c>
    </row>
    <row r="2205" customFormat="false" ht="13.5" hidden="false" customHeight="true" outlineLevel="0" collapsed="false">
      <c r="A2205" s="17"/>
      <c r="B2205" s="4" t="s">
        <v>2169</v>
      </c>
    </row>
    <row r="2206" customFormat="false" ht="13.5" hidden="false" customHeight="true" outlineLevel="0" collapsed="false">
      <c r="A2206" s="17"/>
      <c r="B2206" s="18" t="s">
        <v>2170</v>
      </c>
    </row>
    <row r="2207" customFormat="false" ht="13.5" hidden="false" customHeight="true" outlineLevel="0" collapsed="false">
      <c r="A2207" s="17"/>
      <c r="B2207" s="4" t="s">
        <v>2171</v>
      </c>
    </row>
    <row r="2208" customFormat="false" ht="13.5" hidden="false" customHeight="true" outlineLevel="0" collapsed="false">
      <c r="A2208" s="17"/>
      <c r="B2208" s="18" t="s">
        <v>2172</v>
      </c>
    </row>
    <row r="2209" customFormat="false" ht="27.75" hidden="false" customHeight="true" outlineLevel="0" collapsed="false">
      <c r="A2209" s="17"/>
      <c r="B2209" s="4" t="s">
        <v>2173</v>
      </c>
    </row>
    <row r="2210" customFormat="false" ht="13.5" hidden="false" customHeight="true" outlineLevel="0" collapsed="false">
      <c r="A2210" s="17"/>
      <c r="B2210" s="18" t="s">
        <v>2174</v>
      </c>
    </row>
    <row r="2211" customFormat="false" ht="13.5" hidden="false" customHeight="true" outlineLevel="0" collapsed="false">
      <c r="A2211" s="17"/>
      <c r="B2211" s="4" t="s">
        <v>2175</v>
      </c>
    </row>
    <row r="2212" customFormat="false" ht="13.5" hidden="false" customHeight="true" outlineLevel="0" collapsed="false">
      <c r="A2212" s="17"/>
      <c r="B2212" s="18" t="s">
        <v>2176</v>
      </c>
    </row>
    <row r="2213" customFormat="false" ht="27.75" hidden="false" customHeight="true" outlineLevel="0" collapsed="false">
      <c r="A2213" s="17"/>
      <c r="B2213" s="4" t="s">
        <v>2177</v>
      </c>
    </row>
    <row r="2214" customFormat="false" ht="13.5" hidden="false" customHeight="true" outlineLevel="0" collapsed="false">
      <c r="A2214" s="17"/>
      <c r="B2214" s="18" t="s">
        <v>2178</v>
      </c>
    </row>
    <row r="2215" customFormat="false" ht="27.75" hidden="false" customHeight="true" outlineLevel="0" collapsed="false">
      <c r="A2215" s="17"/>
      <c r="B2215" s="4" t="s">
        <v>2179</v>
      </c>
    </row>
    <row r="2216" customFormat="false" ht="13.5" hidden="false" customHeight="true" outlineLevel="0" collapsed="false">
      <c r="A2216" s="17"/>
      <c r="B2216" s="18" t="s">
        <v>2180</v>
      </c>
    </row>
    <row r="2217" customFormat="false" ht="13.5" hidden="false" customHeight="true" outlineLevel="0" collapsed="false">
      <c r="A2217" s="17"/>
      <c r="B2217" s="4" t="s">
        <v>2181</v>
      </c>
    </row>
    <row r="2218" customFormat="false" ht="13.5" hidden="false" customHeight="true" outlineLevel="0" collapsed="false">
      <c r="A2218" s="17"/>
      <c r="B2218" s="18" t="s">
        <v>2182</v>
      </c>
    </row>
    <row r="2219" customFormat="false" ht="13.5" hidden="false" customHeight="true" outlineLevel="0" collapsed="false">
      <c r="A2219" s="17"/>
      <c r="B2219" s="4" t="s">
        <v>2183</v>
      </c>
    </row>
    <row r="2220" customFormat="false" ht="13.5" hidden="false" customHeight="true" outlineLevel="0" collapsed="false">
      <c r="A2220" s="17"/>
      <c r="B2220" s="18" t="s">
        <v>2184</v>
      </c>
    </row>
    <row r="2221" customFormat="false" ht="13.5" hidden="false" customHeight="true" outlineLevel="0" collapsed="false">
      <c r="A2221" s="17"/>
      <c r="B2221" s="4" t="s">
        <v>2185</v>
      </c>
    </row>
    <row r="2222" customFormat="false" ht="13.5" hidden="false" customHeight="true" outlineLevel="0" collapsed="false">
      <c r="A2222" s="17"/>
      <c r="B2222" s="18" t="s">
        <v>2186</v>
      </c>
    </row>
    <row r="2223" customFormat="false" ht="27.75" hidden="false" customHeight="true" outlineLevel="0" collapsed="false">
      <c r="A2223" s="17"/>
      <c r="B2223" s="4" t="s">
        <v>2187</v>
      </c>
    </row>
    <row r="2224" customFormat="false" ht="13.5" hidden="false" customHeight="true" outlineLevel="0" collapsed="false">
      <c r="A2224" s="17"/>
      <c r="B2224" s="18" t="s">
        <v>2188</v>
      </c>
    </row>
    <row r="2225" customFormat="false" ht="13.5" hidden="false" customHeight="true" outlineLevel="0" collapsed="false">
      <c r="A2225" s="17"/>
      <c r="B2225" s="4" t="s">
        <v>2189</v>
      </c>
    </row>
    <row r="2226" customFormat="false" ht="13.5" hidden="false" customHeight="true" outlineLevel="0" collapsed="false">
      <c r="A2226" s="17"/>
      <c r="B2226" s="18" t="s">
        <v>2190</v>
      </c>
    </row>
    <row r="2227" customFormat="false" ht="13.5" hidden="false" customHeight="true" outlineLevel="0" collapsed="false">
      <c r="A2227" s="17"/>
      <c r="B2227" s="4" t="s">
        <v>2191</v>
      </c>
    </row>
    <row r="2228" customFormat="false" ht="13.5" hidden="false" customHeight="true" outlineLevel="0" collapsed="false">
      <c r="A2228" s="17"/>
      <c r="B2228" s="18" t="s">
        <v>2192</v>
      </c>
    </row>
    <row r="2229" customFormat="false" ht="13.5" hidden="false" customHeight="true" outlineLevel="0" collapsed="false">
      <c r="A2229" s="17"/>
      <c r="B2229" s="4" t="s">
        <v>2193</v>
      </c>
    </row>
    <row r="2230" customFormat="false" ht="13.5" hidden="false" customHeight="true" outlineLevel="0" collapsed="false">
      <c r="A2230" s="17"/>
      <c r="B2230" s="18" t="s">
        <v>2194</v>
      </c>
    </row>
    <row r="2231" customFormat="false" ht="13.5" hidden="false" customHeight="true" outlineLevel="0" collapsed="false">
      <c r="A2231" s="17"/>
      <c r="B2231" s="4" t="s">
        <v>2195</v>
      </c>
    </row>
    <row r="2232" customFormat="false" ht="27.75" hidden="false" customHeight="true" outlineLevel="0" collapsed="false">
      <c r="A2232" s="17"/>
      <c r="B2232" s="18" t="s">
        <v>2196</v>
      </c>
    </row>
    <row r="2233" customFormat="false" ht="13.5" hidden="false" customHeight="true" outlineLevel="0" collapsed="false">
      <c r="A2233" s="17"/>
      <c r="B2233" s="4" t="s">
        <v>2197</v>
      </c>
    </row>
    <row r="2234" customFormat="false" ht="13.5" hidden="false" customHeight="true" outlineLevel="0" collapsed="false">
      <c r="A2234" s="17"/>
      <c r="B2234" s="18" t="s">
        <v>2198</v>
      </c>
    </row>
    <row r="2235" customFormat="false" ht="13.5" hidden="false" customHeight="true" outlineLevel="0" collapsed="false">
      <c r="A2235" s="17"/>
      <c r="B2235" s="4" t="s">
        <v>2199</v>
      </c>
    </row>
    <row r="2236" customFormat="false" ht="13.5" hidden="false" customHeight="true" outlineLevel="0" collapsed="false">
      <c r="A2236" s="17"/>
      <c r="B2236" s="18" t="s">
        <v>2200</v>
      </c>
    </row>
    <row r="2237" customFormat="false" ht="13.5" hidden="false" customHeight="true" outlineLevel="0" collapsed="false">
      <c r="A2237" s="17"/>
      <c r="B2237" s="20" t="s">
        <v>2201</v>
      </c>
    </row>
    <row r="2240" customFormat="false" ht="15" hidden="false" customHeight="false" outlineLevel="0" collapsed="false">
      <c r="A2240" s="15" t="s">
        <v>311</v>
      </c>
      <c r="B2240" s="15" t="s">
        <v>2202</v>
      </c>
    </row>
    <row r="2241" customFormat="false" ht="15" hidden="false" customHeight="false" outlineLevel="0" collapsed="false">
      <c r="B2241" s="16" t="str">
        <f aca="false">HYPERLINK("#Label!G102","← Back to label (row 102)")</f>
        <v>← Back to label (row 102)</v>
      </c>
    </row>
    <row r="2242" customFormat="false" ht="27.75" hidden="false" customHeight="true" outlineLevel="0" collapsed="false">
      <c r="A2242" s="17" t="s">
        <v>24</v>
      </c>
      <c r="B2242" s="18" t="s">
        <v>313</v>
      </c>
    </row>
    <row r="2243" customFormat="false" ht="13.5" hidden="false" customHeight="true" outlineLevel="0" collapsed="false">
      <c r="A2243" s="17" t="s">
        <v>450</v>
      </c>
      <c r="B2243" s="4" t="s">
        <v>2203</v>
      </c>
    </row>
    <row r="2244" customFormat="false" ht="13.5" hidden="false" customHeight="true" outlineLevel="0" collapsed="false">
      <c r="A2244" s="17" t="s">
        <v>452</v>
      </c>
      <c r="B2244" s="18" t="s">
        <v>2204</v>
      </c>
    </row>
    <row r="2245" customFormat="false" ht="252" hidden="false" customHeight="true" outlineLevel="0" collapsed="false">
      <c r="A2245" s="17" t="s">
        <v>454</v>
      </c>
      <c r="B2245" s="4" t="s">
        <v>2205</v>
      </c>
    </row>
    <row r="2246" customFormat="false" ht="13.5" hidden="false" customHeight="true" outlineLevel="0" collapsed="false">
      <c r="A2246" s="17" t="s">
        <v>456</v>
      </c>
      <c r="B2246" s="18" t="s">
        <v>2206</v>
      </c>
    </row>
    <row r="2247" customFormat="false" ht="13.5" hidden="false" customHeight="true" outlineLevel="0" collapsed="false">
      <c r="A2247" s="17" t="s">
        <v>2207</v>
      </c>
      <c r="B2247" s="4" t="s">
        <v>2208</v>
      </c>
    </row>
    <row r="2248" customFormat="false" ht="13.5" hidden="false" customHeight="true" outlineLevel="0" collapsed="false">
      <c r="A2248" s="17"/>
      <c r="B2248" s="18" t="s">
        <v>2209</v>
      </c>
    </row>
    <row r="2249" customFormat="false" ht="13.5" hidden="false" customHeight="true" outlineLevel="0" collapsed="false">
      <c r="A2249" s="17"/>
      <c r="B2249" s="4" t="s">
        <v>2210</v>
      </c>
    </row>
    <row r="2250" customFormat="false" ht="13.5" hidden="false" customHeight="true" outlineLevel="0" collapsed="false">
      <c r="A2250" s="17"/>
      <c r="B2250" s="18" t="s">
        <v>2211</v>
      </c>
    </row>
    <row r="2251" customFormat="false" ht="27.75" hidden="false" customHeight="true" outlineLevel="0" collapsed="false">
      <c r="A2251" s="17"/>
      <c r="B2251" s="4" t="s">
        <v>2212</v>
      </c>
    </row>
    <row r="2252" customFormat="false" ht="13.5" hidden="false" customHeight="true" outlineLevel="0" collapsed="false">
      <c r="A2252" s="17"/>
      <c r="B2252" s="18" t="s">
        <v>2213</v>
      </c>
    </row>
    <row r="2253" customFormat="false" ht="27.75" hidden="false" customHeight="true" outlineLevel="0" collapsed="false">
      <c r="A2253" s="17"/>
      <c r="B2253" s="4" t="s">
        <v>2214</v>
      </c>
    </row>
    <row r="2254" customFormat="false" ht="13.5" hidden="false" customHeight="true" outlineLevel="0" collapsed="false">
      <c r="A2254" s="17"/>
      <c r="B2254" s="18" t="s">
        <v>2215</v>
      </c>
    </row>
    <row r="2255" customFormat="false" ht="13.5" hidden="false" customHeight="true" outlineLevel="0" collapsed="false">
      <c r="A2255" s="17"/>
      <c r="B2255" s="4" t="s">
        <v>2216</v>
      </c>
    </row>
    <row r="2256" customFormat="false" ht="27.75" hidden="false" customHeight="true" outlineLevel="0" collapsed="false">
      <c r="A2256" s="17"/>
      <c r="B2256" s="18" t="s">
        <v>2217</v>
      </c>
    </row>
    <row r="2257" customFormat="false" ht="27.75" hidden="false" customHeight="true" outlineLevel="0" collapsed="false">
      <c r="A2257" s="17"/>
      <c r="B2257" s="4" t="s">
        <v>2218</v>
      </c>
    </row>
    <row r="2258" customFormat="false" ht="13.5" hidden="false" customHeight="true" outlineLevel="0" collapsed="false">
      <c r="A2258" s="17"/>
      <c r="B2258" s="18" t="s">
        <v>2219</v>
      </c>
    </row>
    <row r="2261" customFormat="false" ht="15" hidden="false" customHeight="false" outlineLevel="0" collapsed="false">
      <c r="A2261" s="15" t="s">
        <v>315</v>
      </c>
      <c r="B2261" s="15" t="s">
        <v>2220</v>
      </c>
    </row>
    <row r="2262" customFormat="false" ht="15" hidden="false" customHeight="false" outlineLevel="0" collapsed="false">
      <c r="B2262" s="16" t="str">
        <f aca="false">HYPERLINK("#Label!G103","← Back to label (row 103)")</f>
        <v>← Back to label (row 103)</v>
      </c>
    </row>
    <row r="2263" customFormat="false" ht="13.5" hidden="false" customHeight="true" outlineLevel="0" collapsed="false">
      <c r="A2263" s="17" t="s">
        <v>24</v>
      </c>
      <c r="B2263" s="18" t="s">
        <v>153</v>
      </c>
    </row>
    <row r="2264" customFormat="false" ht="13.5" hidden="false" customHeight="true" outlineLevel="0" collapsed="false">
      <c r="A2264" s="17" t="s">
        <v>450</v>
      </c>
      <c r="B2264" s="4" t="s">
        <v>2221</v>
      </c>
    </row>
    <row r="2265" customFormat="false" ht="13.5" hidden="false" customHeight="true" outlineLevel="0" collapsed="false">
      <c r="A2265" s="17" t="s">
        <v>454</v>
      </c>
      <c r="B2265" s="19" t="s">
        <v>486</v>
      </c>
    </row>
    <row r="2266" customFormat="false" ht="13.5" hidden="false" customHeight="true" outlineLevel="0" collapsed="false">
      <c r="A2266" s="17" t="s">
        <v>456</v>
      </c>
      <c r="B2266" s="20" t="s">
        <v>457</v>
      </c>
    </row>
    <row r="2267" customFormat="false" ht="27.75" hidden="false" customHeight="true" outlineLevel="0" collapsed="false">
      <c r="A2267" s="17" t="s">
        <v>1900</v>
      </c>
      <c r="B2267" s="18" t="s">
        <v>2222</v>
      </c>
    </row>
    <row r="2268" customFormat="false" ht="13.5" hidden="false" customHeight="true" outlineLevel="0" collapsed="false">
      <c r="A2268" s="17"/>
      <c r="B2268" s="4" t="s">
        <v>2223</v>
      </c>
    </row>
    <row r="2269" customFormat="false" ht="13.5" hidden="false" customHeight="true" outlineLevel="0" collapsed="false">
      <c r="A2269" s="17"/>
      <c r="B2269" s="18" t="s">
        <v>2224</v>
      </c>
    </row>
    <row r="2270" customFormat="false" ht="13.5" hidden="false" customHeight="true" outlineLevel="0" collapsed="false">
      <c r="A2270" s="17"/>
      <c r="B2270" s="4" t="s">
        <v>2225</v>
      </c>
    </row>
    <row r="2271" customFormat="false" ht="27.75" hidden="false" customHeight="true" outlineLevel="0" collapsed="false">
      <c r="A2271" s="17"/>
      <c r="B2271" s="18" t="s">
        <v>2226</v>
      </c>
    </row>
    <row r="2272" customFormat="false" ht="13.5" hidden="false" customHeight="true" outlineLevel="0" collapsed="false">
      <c r="A2272" s="17"/>
      <c r="B2272" s="4" t="s">
        <v>2227</v>
      </c>
    </row>
    <row r="2273" customFormat="false" ht="13.5" hidden="false" customHeight="true" outlineLevel="0" collapsed="false">
      <c r="A2273" s="17"/>
      <c r="B2273" s="18" t="s">
        <v>2228</v>
      </c>
    </row>
    <row r="2274" customFormat="false" ht="13.5" hidden="false" customHeight="true" outlineLevel="0" collapsed="false">
      <c r="A2274" s="17"/>
      <c r="B2274" s="4" t="s">
        <v>2229</v>
      </c>
    </row>
    <row r="2275" customFormat="false" ht="13.5" hidden="false" customHeight="true" outlineLevel="0" collapsed="false">
      <c r="A2275" s="17"/>
      <c r="B2275" s="18" t="s">
        <v>2230</v>
      </c>
    </row>
    <row r="2276" customFormat="false" ht="13.5" hidden="false" customHeight="true" outlineLevel="0" collapsed="false">
      <c r="A2276" s="17"/>
      <c r="B2276" s="4" t="s">
        <v>2231</v>
      </c>
    </row>
    <row r="2277" customFormat="false" ht="13.5" hidden="false" customHeight="true" outlineLevel="0" collapsed="false">
      <c r="A2277" s="17"/>
      <c r="B2277" s="18" t="s">
        <v>2232</v>
      </c>
    </row>
    <row r="2278" customFormat="false" ht="13.5" hidden="false" customHeight="true" outlineLevel="0" collapsed="false">
      <c r="A2278" s="17"/>
      <c r="B2278" s="4" t="s">
        <v>2233</v>
      </c>
    </row>
    <row r="2279" customFormat="false" ht="13.5" hidden="false" customHeight="true" outlineLevel="0" collapsed="false">
      <c r="A2279" s="17"/>
      <c r="B2279" s="18" t="s">
        <v>2234</v>
      </c>
    </row>
    <row r="2280" customFormat="false" ht="13.5" hidden="false" customHeight="true" outlineLevel="0" collapsed="false">
      <c r="A2280" s="17"/>
      <c r="B2280" s="4" t="s">
        <v>2235</v>
      </c>
    </row>
    <row r="2281" customFormat="false" ht="13.5" hidden="false" customHeight="true" outlineLevel="0" collapsed="false">
      <c r="A2281" s="17"/>
      <c r="B2281" s="18" t="s">
        <v>2236</v>
      </c>
    </row>
    <row r="2282" customFormat="false" ht="13.5" hidden="false" customHeight="true" outlineLevel="0" collapsed="false">
      <c r="A2282" s="17"/>
      <c r="B2282" s="4" t="s">
        <v>2237</v>
      </c>
    </row>
    <row r="2283" customFormat="false" ht="13.5" hidden="false" customHeight="true" outlineLevel="0" collapsed="false">
      <c r="A2283" s="17"/>
      <c r="B2283" s="18" t="s">
        <v>2238</v>
      </c>
    </row>
    <row r="2284" customFormat="false" ht="13.5" hidden="false" customHeight="true" outlineLevel="0" collapsed="false">
      <c r="A2284" s="17"/>
      <c r="B2284" s="4" t="s">
        <v>2239</v>
      </c>
    </row>
    <row r="2285" customFormat="false" ht="13.5" hidden="false" customHeight="true" outlineLevel="0" collapsed="false">
      <c r="A2285" s="17"/>
      <c r="B2285" s="18" t="s">
        <v>2240</v>
      </c>
    </row>
    <row r="2286" customFormat="false" ht="13.5" hidden="false" customHeight="true" outlineLevel="0" collapsed="false">
      <c r="A2286" s="17"/>
      <c r="B2286" s="4" t="s">
        <v>2241</v>
      </c>
    </row>
    <row r="2287" customFormat="false" ht="27.75" hidden="false" customHeight="true" outlineLevel="0" collapsed="false">
      <c r="A2287" s="17"/>
      <c r="B2287" s="18" t="s">
        <v>2242</v>
      </c>
    </row>
    <row r="2288" customFormat="false" ht="13.5" hidden="false" customHeight="true" outlineLevel="0" collapsed="false">
      <c r="A2288" s="17"/>
      <c r="B2288" s="4" t="s">
        <v>2243</v>
      </c>
    </row>
    <row r="2289" customFormat="false" ht="27.75" hidden="false" customHeight="true" outlineLevel="0" collapsed="false">
      <c r="A2289" s="17"/>
      <c r="B2289" s="18" t="s">
        <v>2244</v>
      </c>
    </row>
    <row r="2290" customFormat="false" ht="13.5" hidden="false" customHeight="true" outlineLevel="0" collapsed="false">
      <c r="A2290" s="17"/>
      <c r="B2290" s="4" t="s">
        <v>2245</v>
      </c>
    </row>
    <row r="2291" customFormat="false" ht="13.5" hidden="false" customHeight="true" outlineLevel="0" collapsed="false">
      <c r="A2291" s="17"/>
      <c r="B2291" s="18" t="s">
        <v>2246</v>
      </c>
    </row>
    <row r="2292" customFormat="false" ht="13.5" hidden="false" customHeight="true" outlineLevel="0" collapsed="false">
      <c r="A2292" s="17"/>
      <c r="B2292" s="4" t="s">
        <v>2247</v>
      </c>
    </row>
    <row r="2293" customFormat="false" ht="13.5" hidden="false" customHeight="true" outlineLevel="0" collapsed="false">
      <c r="A2293" s="17"/>
      <c r="B2293" s="18" t="s">
        <v>2248</v>
      </c>
    </row>
    <row r="2294" customFormat="false" ht="13.5" hidden="false" customHeight="true" outlineLevel="0" collapsed="false">
      <c r="A2294" s="17"/>
      <c r="B2294" s="4" t="s">
        <v>2249</v>
      </c>
    </row>
    <row r="2295" customFormat="false" ht="27.75" hidden="false" customHeight="true" outlineLevel="0" collapsed="false">
      <c r="A2295" s="17"/>
      <c r="B2295" s="18" t="s">
        <v>2250</v>
      </c>
    </row>
    <row r="2296" customFormat="false" ht="27.75" hidden="false" customHeight="true" outlineLevel="0" collapsed="false">
      <c r="A2296" s="17"/>
      <c r="B2296" s="4" t="s">
        <v>2251</v>
      </c>
    </row>
    <row r="2297" customFormat="false" ht="13.5" hidden="false" customHeight="true" outlineLevel="0" collapsed="false">
      <c r="A2297" s="17"/>
      <c r="B2297" s="18" t="s">
        <v>2252</v>
      </c>
    </row>
    <row r="2300" customFormat="false" ht="15" hidden="false" customHeight="false" outlineLevel="0" collapsed="false">
      <c r="A2300" s="15" t="s">
        <v>317</v>
      </c>
      <c r="B2300" s="15" t="s">
        <v>2253</v>
      </c>
    </row>
    <row r="2301" customFormat="false" ht="15" hidden="false" customHeight="false" outlineLevel="0" collapsed="false">
      <c r="B2301" s="16" t="str">
        <f aca="false">HYPERLINK("#Label!G104","← Back to label (row 104)")</f>
        <v>← Back to label (row 104)</v>
      </c>
    </row>
    <row r="2302" customFormat="false" ht="13.5" hidden="false" customHeight="true" outlineLevel="0" collapsed="false">
      <c r="A2302" s="17" t="s">
        <v>24</v>
      </c>
      <c r="B2302" s="18" t="s">
        <v>59</v>
      </c>
    </row>
    <row r="2303" customFormat="false" ht="13.5" hidden="false" customHeight="true" outlineLevel="0" collapsed="false">
      <c r="A2303" s="17" t="s">
        <v>450</v>
      </c>
      <c r="B2303" s="4" t="s">
        <v>2254</v>
      </c>
    </row>
    <row r="2304" customFormat="false" ht="13.5" hidden="false" customHeight="true" outlineLevel="0" collapsed="false">
      <c r="A2304" s="17" t="s">
        <v>452</v>
      </c>
      <c r="B2304" s="18" t="s">
        <v>2255</v>
      </c>
    </row>
    <row r="2305" customFormat="false" ht="126" hidden="false" customHeight="true" outlineLevel="0" collapsed="false">
      <c r="A2305" s="17" t="s">
        <v>454</v>
      </c>
      <c r="B2305" s="4" t="s">
        <v>2256</v>
      </c>
    </row>
    <row r="2306" customFormat="false" ht="13.5" hidden="false" customHeight="true" outlineLevel="0" collapsed="false">
      <c r="A2306" s="17" t="s">
        <v>456</v>
      </c>
      <c r="B2306" s="18" t="s">
        <v>2257</v>
      </c>
    </row>
    <row r="2307" customFormat="false" ht="13.5" hidden="false" customHeight="true" outlineLevel="0" collapsed="false">
      <c r="A2307" s="17" t="s">
        <v>1997</v>
      </c>
      <c r="B2307" s="4" t="s">
        <v>2258</v>
      </c>
    </row>
    <row r="2308" customFormat="false" ht="13.5" hidden="false" customHeight="true" outlineLevel="0" collapsed="false">
      <c r="A2308" s="17"/>
      <c r="B2308" s="18" t="s">
        <v>2259</v>
      </c>
    </row>
    <row r="2309" customFormat="false" ht="13.5" hidden="false" customHeight="true" outlineLevel="0" collapsed="false">
      <c r="A2309" s="17"/>
      <c r="B2309" s="4" t="s">
        <v>2260</v>
      </c>
    </row>
    <row r="2310" customFormat="false" ht="27.75" hidden="false" customHeight="true" outlineLevel="0" collapsed="false">
      <c r="A2310" s="17"/>
      <c r="B2310" s="18" t="s">
        <v>2261</v>
      </c>
    </row>
    <row r="2311" customFormat="false" ht="13.5" hidden="false" customHeight="true" outlineLevel="0" collapsed="false">
      <c r="A2311" s="17"/>
      <c r="B2311" s="4" t="s">
        <v>2262</v>
      </c>
    </row>
    <row r="2312" customFormat="false" ht="13.5" hidden="false" customHeight="true" outlineLevel="0" collapsed="false">
      <c r="A2312" s="17"/>
      <c r="B2312" s="18" t="s">
        <v>2263</v>
      </c>
    </row>
    <row r="2313" customFormat="false" ht="13.5" hidden="false" customHeight="true" outlineLevel="0" collapsed="false">
      <c r="A2313" s="17"/>
      <c r="B2313" s="4" t="s">
        <v>2264</v>
      </c>
    </row>
    <row r="2314" customFormat="false" ht="13.5" hidden="false" customHeight="true" outlineLevel="0" collapsed="false">
      <c r="A2314" s="17"/>
      <c r="B2314" s="18" t="s">
        <v>2265</v>
      </c>
    </row>
    <row r="2315" customFormat="false" ht="13.5" hidden="false" customHeight="true" outlineLevel="0" collapsed="false">
      <c r="A2315" s="17"/>
      <c r="B2315" s="4" t="s">
        <v>2266</v>
      </c>
    </row>
    <row r="2316" customFormat="false" ht="13.5" hidden="false" customHeight="true" outlineLevel="0" collapsed="false">
      <c r="A2316" s="17"/>
      <c r="B2316" s="18" t="s">
        <v>2267</v>
      </c>
    </row>
    <row r="2317" customFormat="false" ht="13.5" hidden="false" customHeight="true" outlineLevel="0" collapsed="false">
      <c r="A2317" s="17"/>
      <c r="B2317" s="4" t="s">
        <v>2268</v>
      </c>
    </row>
    <row r="2318" customFormat="false" ht="13.5" hidden="false" customHeight="true" outlineLevel="0" collapsed="false">
      <c r="A2318" s="17"/>
      <c r="B2318" s="18" t="s">
        <v>2269</v>
      </c>
    </row>
    <row r="2319" customFormat="false" ht="13.5" hidden="false" customHeight="true" outlineLevel="0" collapsed="false">
      <c r="A2319" s="17"/>
      <c r="B2319" s="4" t="s">
        <v>2270</v>
      </c>
    </row>
    <row r="2320" customFormat="false" ht="13.5" hidden="false" customHeight="true" outlineLevel="0" collapsed="false">
      <c r="A2320" s="17"/>
      <c r="B2320" s="18" t="s">
        <v>2271</v>
      </c>
    </row>
    <row r="2321" customFormat="false" ht="13.5" hidden="false" customHeight="true" outlineLevel="0" collapsed="false">
      <c r="A2321" s="17"/>
      <c r="B2321" s="4" t="s">
        <v>2272</v>
      </c>
    </row>
    <row r="2322" customFormat="false" ht="13.5" hidden="false" customHeight="true" outlineLevel="0" collapsed="false">
      <c r="A2322" s="17"/>
      <c r="B2322" s="18" t="s">
        <v>2273</v>
      </c>
    </row>
    <row r="2323" customFormat="false" ht="13.5" hidden="false" customHeight="true" outlineLevel="0" collapsed="false">
      <c r="A2323" s="17"/>
      <c r="B2323" s="4" t="s">
        <v>2274</v>
      </c>
    </row>
    <row r="2324" customFormat="false" ht="27.75" hidden="false" customHeight="true" outlineLevel="0" collapsed="false">
      <c r="A2324" s="17"/>
      <c r="B2324" s="18" t="s">
        <v>2275</v>
      </c>
    </row>
    <row r="2325" customFormat="false" ht="13.5" hidden="false" customHeight="true" outlineLevel="0" collapsed="false">
      <c r="A2325" s="17"/>
      <c r="B2325" s="4" t="s">
        <v>2276</v>
      </c>
    </row>
    <row r="2326" customFormat="false" ht="13.5" hidden="false" customHeight="true" outlineLevel="0" collapsed="false">
      <c r="A2326" s="17"/>
      <c r="B2326" s="18" t="s">
        <v>2277</v>
      </c>
    </row>
    <row r="2327" customFormat="false" ht="13.5" hidden="false" customHeight="true" outlineLevel="0" collapsed="false">
      <c r="A2327" s="17"/>
      <c r="B2327" s="4" t="s">
        <v>2278</v>
      </c>
    </row>
    <row r="2328" customFormat="false" ht="13.5" hidden="false" customHeight="true" outlineLevel="0" collapsed="false">
      <c r="A2328" s="17"/>
      <c r="B2328" s="18" t="s">
        <v>2279</v>
      </c>
    </row>
    <row r="2329" customFormat="false" ht="13.5" hidden="false" customHeight="true" outlineLevel="0" collapsed="false">
      <c r="A2329" s="17"/>
      <c r="B2329" s="4" t="s">
        <v>2280</v>
      </c>
    </row>
    <row r="2330" customFormat="false" ht="13.5" hidden="false" customHeight="true" outlineLevel="0" collapsed="false">
      <c r="A2330" s="17"/>
      <c r="B2330" s="18" t="s">
        <v>2281</v>
      </c>
    </row>
    <row r="2331" customFormat="false" ht="13.5" hidden="false" customHeight="true" outlineLevel="0" collapsed="false">
      <c r="A2331" s="17"/>
      <c r="B2331" s="4" t="s">
        <v>2282</v>
      </c>
    </row>
    <row r="2332" customFormat="false" ht="13.5" hidden="false" customHeight="true" outlineLevel="0" collapsed="false">
      <c r="A2332" s="17"/>
      <c r="B2332" s="18" t="s">
        <v>2283</v>
      </c>
    </row>
    <row r="2333" customFormat="false" ht="13.5" hidden="false" customHeight="true" outlineLevel="0" collapsed="false">
      <c r="A2333" s="17"/>
      <c r="B2333" s="4" t="s">
        <v>2284</v>
      </c>
    </row>
    <row r="2334" customFormat="false" ht="13.5" hidden="false" customHeight="true" outlineLevel="0" collapsed="false">
      <c r="A2334" s="17"/>
      <c r="B2334" s="18" t="s">
        <v>2285</v>
      </c>
    </row>
    <row r="2335" customFormat="false" ht="13.5" hidden="false" customHeight="true" outlineLevel="0" collapsed="false">
      <c r="A2335" s="17"/>
      <c r="B2335" s="4" t="s">
        <v>2286</v>
      </c>
    </row>
    <row r="2338" customFormat="false" ht="15" hidden="false" customHeight="false" outlineLevel="0" collapsed="false">
      <c r="A2338" s="15" t="s">
        <v>319</v>
      </c>
      <c r="B2338" s="15" t="s">
        <v>2287</v>
      </c>
    </row>
    <row r="2339" customFormat="false" ht="15" hidden="false" customHeight="false" outlineLevel="0" collapsed="false">
      <c r="B2339" s="16" t="str">
        <f aca="false">HYPERLINK("#Label!G105","← Back to label (row 105)")</f>
        <v>← Back to label (row 105)</v>
      </c>
    </row>
    <row r="2340" customFormat="false" ht="13.5" hidden="false" customHeight="true" outlineLevel="0" collapsed="false">
      <c r="A2340" s="17" t="s">
        <v>24</v>
      </c>
      <c r="B2340" s="18" t="s">
        <v>49</v>
      </c>
    </row>
    <row r="2341" customFormat="false" ht="13.5" hidden="false" customHeight="true" outlineLevel="0" collapsed="false">
      <c r="A2341" s="17" t="s">
        <v>450</v>
      </c>
      <c r="B2341" s="4" t="s">
        <v>2288</v>
      </c>
    </row>
    <row r="2342" customFormat="false" ht="13.5" hidden="false" customHeight="true" outlineLevel="0" collapsed="false">
      <c r="A2342" s="17" t="s">
        <v>452</v>
      </c>
      <c r="B2342" s="18" t="s">
        <v>2289</v>
      </c>
    </row>
    <row r="2343" customFormat="false" ht="181.5" hidden="false" customHeight="true" outlineLevel="0" collapsed="false">
      <c r="A2343" s="17" t="s">
        <v>454</v>
      </c>
      <c r="B2343" s="4" t="s">
        <v>2290</v>
      </c>
    </row>
    <row r="2344" customFormat="false" ht="13.5" hidden="false" customHeight="true" outlineLevel="0" collapsed="false">
      <c r="A2344" s="17" t="s">
        <v>456</v>
      </c>
      <c r="B2344" s="19" t="s">
        <v>457</v>
      </c>
    </row>
    <row r="2345" customFormat="false" ht="13.5" hidden="false" customHeight="true" outlineLevel="0" collapsed="false">
      <c r="A2345" s="17" t="s">
        <v>704</v>
      </c>
      <c r="B2345" s="4" t="s">
        <v>2291</v>
      </c>
    </row>
    <row r="2346" customFormat="false" ht="27.75" hidden="false" customHeight="true" outlineLevel="0" collapsed="false">
      <c r="A2346" s="17"/>
      <c r="B2346" s="18" t="s">
        <v>2292</v>
      </c>
    </row>
    <row r="2347" customFormat="false" ht="13.5" hidden="false" customHeight="true" outlineLevel="0" collapsed="false">
      <c r="A2347" s="17"/>
      <c r="B2347" s="4" t="s">
        <v>2293</v>
      </c>
    </row>
    <row r="2348" customFormat="false" ht="13.5" hidden="false" customHeight="true" outlineLevel="0" collapsed="false">
      <c r="A2348" s="17"/>
      <c r="B2348" s="18" t="s">
        <v>2294</v>
      </c>
    </row>
    <row r="2349" customFormat="false" ht="27.75" hidden="false" customHeight="true" outlineLevel="0" collapsed="false">
      <c r="A2349" s="17"/>
      <c r="B2349" s="4" t="s">
        <v>2295</v>
      </c>
    </row>
    <row r="2350" customFormat="false" ht="13.5" hidden="false" customHeight="true" outlineLevel="0" collapsed="false">
      <c r="A2350" s="17"/>
      <c r="B2350" s="18" t="s">
        <v>2296</v>
      </c>
    </row>
    <row r="2351" customFormat="false" ht="13.5" hidden="false" customHeight="true" outlineLevel="0" collapsed="false">
      <c r="A2351" s="17"/>
      <c r="B2351" s="4" t="s">
        <v>2297</v>
      </c>
    </row>
    <row r="2352" customFormat="false" ht="13.5" hidden="false" customHeight="true" outlineLevel="0" collapsed="false">
      <c r="A2352" s="17"/>
      <c r="B2352" s="18" t="s">
        <v>2298</v>
      </c>
    </row>
    <row r="2353" customFormat="false" ht="13.5" hidden="false" customHeight="true" outlineLevel="0" collapsed="false">
      <c r="A2353" s="17"/>
      <c r="B2353" s="4" t="s">
        <v>2299</v>
      </c>
    </row>
    <row r="2354" customFormat="false" ht="13.5" hidden="false" customHeight="true" outlineLevel="0" collapsed="false">
      <c r="A2354" s="17"/>
      <c r="B2354" s="18" t="s">
        <v>2300</v>
      </c>
    </row>
    <row r="2355" customFormat="false" ht="13.5" hidden="false" customHeight="true" outlineLevel="0" collapsed="false">
      <c r="A2355" s="17"/>
      <c r="B2355" s="4" t="s">
        <v>2301</v>
      </c>
    </row>
    <row r="2356" customFormat="false" ht="13.5" hidden="false" customHeight="true" outlineLevel="0" collapsed="false">
      <c r="A2356" s="17"/>
      <c r="B2356" s="18" t="s">
        <v>2302</v>
      </c>
    </row>
    <row r="2357" customFormat="false" ht="13.5" hidden="false" customHeight="true" outlineLevel="0" collapsed="false">
      <c r="A2357" s="17"/>
      <c r="B2357" s="4" t="s">
        <v>2303</v>
      </c>
    </row>
    <row r="2358" customFormat="false" ht="27.75" hidden="false" customHeight="true" outlineLevel="0" collapsed="false">
      <c r="A2358" s="17"/>
      <c r="B2358" s="18" t="s">
        <v>2304</v>
      </c>
    </row>
    <row r="2359" customFormat="false" ht="13.5" hidden="false" customHeight="true" outlineLevel="0" collapsed="false">
      <c r="A2359" s="17"/>
      <c r="B2359" s="4" t="s">
        <v>2305</v>
      </c>
    </row>
    <row r="2360" customFormat="false" ht="13.5" hidden="false" customHeight="true" outlineLevel="0" collapsed="false">
      <c r="A2360" s="17"/>
      <c r="B2360" s="18" t="s">
        <v>2306</v>
      </c>
    </row>
    <row r="2361" customFormat="false" ht="13.5" hidden="false" customHeight="true" outlineLevel="0" collapsed="false">
      <c r="A2361" s="17"/>
      <c r="B2361" s="4" t="s">
        <v>2307</v>
      </c>
    </row>
    <row r="2362" customFormat="false" ht="13.5" hidden="false" customHeight="true" outlineLevel="0" collapsed="false">
      <c r="A2362" s="17"/>
      <c r="B2362" s="18" t="s">
        <v>2308</v>
      </c>
    </row>
    <row r="2363" customFormat="false" ht="13.5" hidden="false" customHeight="true" outlineLevel="0" collapsed="false">
      <c r="A2363" s="17"/>
      <c r="B2363" s="4" t="s">
        <v>2309</v>
      </c>
    </row>
    <row r="2364" customFormat="false" ht="13.5" hidden="false" customHeight="true" outlineLevel="0" collapsed="false">
      <c r="A2364" s="17"/>
      <c r="B2364" s="18" t="s">
        <v>2310</v>
      </c>
    </row>
    <row r="2365" customFormat="false" ht="13.5" hidden="false" customHeight="true" outlineLevel="0" collapsed="false">
      <c r="A2365" s="17"/>
      <c r="B2365" s="4" t="s">
        <v>2311</v>
      </c>
    </row>
    <row r="2368" customFormat="false" ht="15" hidden="false" customHeight="false" outlineLevel="0" collapsed="false">
      <c r="A2368" s="15" t="s">
        <v>321</v>
      </c>
      <c r="B2368" s="15" t="s">
        <v>2312</v>
      </c>
    </row>
    <row r="2369" customFormat="false" ht="15" hidden="false" customHeight="false" outlineLevel="0" collapsed="false">
      <c r="B2369" s="16" t="str">
        <f aca="false">HYPERLINK("#Label!G106","← Back to label (row 106)")</f>
        <v>← Back to label (row 106)</v>
      </c>
    </row>
    <row r="2370" customFormat="false" ht="13.5" hidden="false" customHeight="true" outlineLevel="0" collapsed="false">
      <c r="A2370" s="17" t="s">
        <v>24</v>
      </c>
      <c r="B2370" s="18" t="s">
        <v>240</v>
      </c>
    </row>
    <row r="2371" customFormat="false" ht="13.5" hidden="false" customHeight="true" outlineLevel="0" collapsed="false">
      <c r="A2371" s="17" t="s">
        <v>450</v>
      </c>
      <c r="B2371" s="4" t="s">
        <v>2313</v>
      </c>
    </row>
    <row r="2372" customFormat="false" ht="13.5" hidden="false" customHeight="true" outlineLevel="0" collapsed="false">
      <c r="A2372" s="17" t="s">
        <v>454</v>
      </c>
      <c r="B2372" s="19" t="s">
        <v>486</v>
      </c>
    </row>
    <row r="2373" customFormat="false" ht="13.5" hidden="false" customHeight="true" outlineLevel="0" collapsed="false">
      <c r="A2373" s="17" t="s">
        <v>456</v>
      </c>
      <c r="B2373" s="20" t="s">
        <v>457</v>
      </c>
    </row>
    <row r="2374" customFormat="false" ht="13.5" hidden="false" customHeight="true" outlineLevel="0" collapsed="false">
      <c r="A2374" s="17" t="s">
        <v>1536</v>
      </c>
      <c r="B2374" s="18" t="s">
        <v>2314</v>
      </c>
    </row>
    <row r="2375" customFormat="false" ht="13.5" hidden="false" customHeight="true" outlineLevel="0" collapsed="false">
      <c r="A2375" s="17"/>
      <c r="B2375" s="4" t="s">
        <v>2315</v>
      </c>
    </row>
    <row r="2376" customFormat="false" ht="13.5" hidden="false" customHeight="true" outlineLevel="0" collapsed="false">
      <c r="A2376" s="17"/>
      <c r="B2376" s="18" t="s">
        <v>2316</v>
      </c>
    </row>
    <row r="2377" customFormat="false" ht="13.5" hidden="false" customHeight="true" outlineLevel="0" collapsed="false">
      <c r="A2377" s="17"/>
      <c r="B2377" s="4" t="s">
        <v>2317</v>
      </c>
    </row>
    <row r="2378" customFormat="false" ht="13.5" hidden="false" customHeight="true" outlineLevel="0" collapsed="false">
      <c r="A2378" s="17"/>
      <c r="B2378" s="18" t="s">
        <v>2318</v>
      </c>
    </row>
    <row r="2379" customFormat="false" ht="13.5" hidden="false" customHeight="true" outlineLevel="0" collapsed="false">
      <c r="A2379" s="17"/>
      <c r="B2379" s="4" t="s">
        <v>2319</v>
      </c>
    </row>
    <row r="2380" customFormat="false" ht="13.5" hidden="false" customHeight="true" outlineLevel="0" collapsed="false">
      <c r="A2380" s="17"/>
      <c r="B2380" s="18" t="s">
        <v>2320</v>
      </c>
    </row>
    <row r="2381" customFormat="false" ht="13.5" hidden="false" customHeight="true" outlineLevel="0" collapsed="false">
      <c r="A2381" s="17"/>
      <c r="B2381" s="4" t="s">
        <v>2321</v>
      </c>
    </row>
    <row r="2382" customFormat="false" ht="27.75" hidden="false" customHeight="true" outlineLevel="0" collapsed="false">
      <c r="A2382" s="17"/>
      <c r="B2382" s="18" t="s">
        <v>2322</v>
      </c>
    </row>
    <row r="2383" customFormat="false" ht="13.5" hidden="false" customHeight="true" outlineLevel="0" collapsed="false">
      <c r="A2383" s="17"/>
      <c r="B2383" s="4" t="s">
        <v>2323</v>
      </c>
    </row>
    <row r="2384" customFormat="false" ht="13.5" hidden="false" customHeight="true" outlineLevel="0" collapsed="false">
      <c r="A2384" s="17"/>
      <c r="B2384" s="18" t="s">
        <v>2324</v>
      </c>
    </row>
    <row r="2385" customFormat="false" ht="27.75" hidden="false" customHeight="true" outlineLevel="0" collapsed="false">
      <c r="A2385" s="17"/>
      <c r="B2385" s="4" t="s">
        <v>2325</v>
      </c>
    </row>
    <row r="2386" customFormat="false" ht="13.5" hidden="false" customHeight="true" outlineLevel="0" collapsed="false">
      <c r="A2386" s="17"/>
      <c r="B2386" s="18" t="s">
        <v>2326</v>
      </c>
    </row>
    <row r="2387" customFormat="false" ht="13.5" hidden="false" customHeight="true" outlineLevel="0" collapsed="false">
      <c r="A2387" s="17"/>
      <c r="B2387" s="4" t="s">
        <v>2327</v>
      </c>
    </row>
    <row r="2388" customFormat="false" ht="13.5" hidden="false" customHeight="true" outlineLevel="0" collapsed="false">
      <c r="A2388" s="17"/>
      <c r="B2388" s="18" t="s">
        <v>2328</v>
      </c>
    </row>
    <row r="2389" customFormat="false" ht="27.75" hidden="false" customHeight="true" outlineLevel="0" collapsed="false">
      <c r="A2389" s="17"/>
      <c r="B2389" s="4" t="s">
        <v>2329</v>
      </c>
    </row>
    <row r="2392" customFormat="false" ht="15" hidden="false" customHeight="false" outlineLevel="0" collapsed="false">
      <c r="A2392" s="15" t="s">
        <v>323</v>
      </c>
      <c r="B2392" s="15" t="s">
        <v>2330</v>
      </c>
    </row>
    <row r="2393" customFormat="false" ht="15" hidden="false" customHeight="false" outlineLevel="0" collapsed="false">
      <c r="B2393" s="16" t="str">
        <f aca="false">HYPERLINK("#Label!G107","← Back to label (row 107)")</f>
        <v>← Back to label (row 107)</v>
      </c>
    </row>
    <row r="2394" customFormat="false" ht="13.5" hidden="false" customHeight="true" outlineLevel="0" collapsed="false">
      <c r="A2394" s="17" t="s">
        <v>24</v>
      </c>
      <c r="B2394" s="18" t="s">
        <v>98</v>
      </c>
    </row>
    <row r="2395" customFormat="false" ht="13.5" hidden="false" customHeight="true" outlineLevel="0" collapsed="false">
      <c r="A2395" s="17" t="s">
        <v>450</v>
      </c>
      <c r="B2395" s="4" t="s">
        <v>2331</v>
      </c>
    </row>
    <row r="2396" customFormat="false" ht="13.5" hidden="false" customHeight="true" outlineLevel="0" collapsed="false">
      <c r="A2396" s="17" t="s">
        <v>454</v>
      </c>
      <c r="B2396" s="19" t="s">
        <v>486</v>
      </c>
    </row>
    <row r="2397" customFormat="false" ht="13.5" hidden="false" customHeight="true" outlineLevel="0" collapsed="false">
      <c r="A2397" s="17" t="s">
        <v>456</v>
      </c>
      <c r="B2397" s="20" t="s">
        <v>457</v>
      </c>
    </row>
    <row r="2398" customFormat="false" ht="27.75" hidden="false" customHeight="true" outlineLevel="0" collapsed="false">
      <c r="A2398" s="17" t="s">
        <v>1376</v>
      </c>
      <c r="B2398" s="18" t="s">
        <v>2332</v>
      </c>
    </row>
    <row r="2399" customFormat="false" ht="13.5" hidden="false" customHeight="true" outlineLevel="0" collapsed="false">
      <c r="A2399" s="17"/>
      <c r="B2399" s="4" t="s">
        <v>2333</v>
      </c>
    </row>
    <row r="2400" customFormat="false" ht="13.5" hidden="false" customHeight="true" outlineLevel="0" collapsed="false">
      <c r="A2400" s="17"/>
      <c r="B2400" s="18" t="s">
        <v>2334</v>
      </c>
    </row>
    <row r="2401" customFormat="false" ht="27.75" hidden="false" customHeight="true" outlineLevel="0" collapsed="false">
      <c r="A2401" s="17"/>
      <c r="B2401" s="4" t="s">
        <v>2335</v>
      </c>
    </row>
    <row r="2402" customFormat="false" ht="27.75" hidden="false" customHeight="true" outlineLevel="0" collapsed="false">
      <c r="A2402" s="17"/>
      <c r="B2402" s="18" t="s">
        <v>2336</v>
      </c>
    </row>
    <row r="2405" customFormat="false" ht="15" hidden="false" customHeight="false" outlineLevel="0" collapsed="false">
      <c r="A2405" s="15" t="s">
        <v>326</v>
      </c>
      <c r="B2405" s="15" t="s">
        <v>2337</v>
      </c>
    </row>
    <row r="2406" customFormat="false" ht="15" hidden="false" customHeight="false" outlineLevel="0" collapsed="false">
      <c r="B2406" s="16" t="str">
        <f aca="false">HYPERLINK("#Label!G108","← Back to label (row 108)")</f>
        <v>← Back to label (row 108)</v>
      </c>
    </row>
    <row r="2407" customFormat="false" ht="13.5" hidden="false" customHeight="true" outlineLevel="0" collapsed="false">
      <c r="A2407" s="17" t="s">
        <v>24</v>
      </c>
      <c r="B2407" s="18" t="s">
        <v>98</v>
      </c>
    </row>
    <row r="2408" customFormat="false" ht="13.5" hidden="false" customHeight="true" outlineLevel="0" collapsed="false">
      <c r="A2408" s="17" t="s">
        <v>450</v>
      </c>
      <c r="B2408" s="4" t="s">
        <v>2338</v>
      </c>
    </row>
    <row r="2409" customFormat="false" ht="13.5" hidden="false" customHeight="true" outlineLevel="0" collapsed="false">
      <c r="A2409" s="17" t="s">
        <v>454</v>
      </c>
      <c r="B2409" s="19" t="s">
        <v>486</v>
      </c>
    </row>
    <row r="2410" customFormat="false" ht="13.5" hidden="false" customHeight="true" outlineLevel="0" collapsed="false">
      <c r="A2410" s="17" t="s">
        <v>456</v>
      </c>
      <c r="B2410" s="20" t="s">
        <v>457</v>
      </c>
    </row>
    <row r="2411" customFormat="false" ht="13.5" hidden="false" customHeight="true" outlineLevel="0" collapsed="false">
      <c r="A2411" s="17" t="s">
        <v>500</v>
      </c>
      <c r="B2411" s="18" t="s">
        <v>2339</v>
      </c>
    </row>
    <row r="2412" customFormat="false" ht="13.5" hidden="false" customHeight="true" outlineLevel="0" collapsed="false">
      <c r="A2412" s="17"/>
      <c r="B2412" s="4" t="s">
        <v>2340</v>
      </c>
    </row>
    <row r="2413" customFormat="false" ht="13.5" hidden="false" customHeight="true" outlineLevel="0" collapsed="false">
      <c r="A2413" s="17"/>
      <c r="B2413" s="18" t="s">
        <v>2341</v>
      </c>
    </row>
    <row r="2416" customFormat="false" ht="15" hidden="false" customHeight="false" outlineLevel="0" collapsed="false">
      <c r="A2416" s="15" t="s">
        <v>329</v>
      </c>
      <c r="B2416" s="15" t="s">
        <v>2342</v>
      </c>
    </row>
    <row r="2417" customFormat="false" ht="15" hidden="false" customHeight="false" outlineLevel="0" collapsed="false">
      <c r="B2417" s="16" t="str">
        <f aca="false">HYPERLINK("#Label!G109","← Back to label (row 109)")</f>
        <v>← Back to label (row 109)</v>
      </c>
    </row>
    <row r="2418" customFormat="false" ht="13.5" hidden="false" customHeight="true" outlineLevel="0" collapsed="false">
      <c r="A2418" s="17" t="s">
        <v>24</v>
      </c>
      <c r="B2418" s="18" t="s">
        <v>67</v>
      </c>
    </row>
    <row r="2419" customFormat="false" ht="13.5" hidden="false" customHeight="true" outlineLevel="0" collapsed="false">
      <c r="A2419" s="17" t="s">
        <v>450</v>
      </c>
      <c r="B2419" s="4" t="s">
        <v>2343</v>
      </c>
    </row>
    <row r="2420" customFormat="false" ht="13.5" hidden="false" customHeight="true" outlineLevel="0" collapsed="false">
      <c r="A2420" s="17" t="s">
        <v>452</v>
      </c>
      <c r="B2420" s="18" t="s">
        <v>2344</v>
      </c>
    </row>
    <row r="2421" customFormat="false" ht="13.5" hidden="false" customHeight="true" outlineLevel="0" collapsed="false">
      <c r="A2421" s="17" t="s">
        <v>454</v>
      </c>
      <c r="B2421" s="20" t="s">
        <v>486</v>
      </c>
    </row>
    <row r="2422" customFormat="false" ht="13.5" hidden="false" customHeight="true" outlineLevel="0" collapsed="false">
      <c r="A2422" s="17" t="s">
        <v>456</v>
      </c>
      <c r="B2422" s="19" t="s">
        <v>457</v>
      </c>
    </row>
    <row r="2423" customFormat="false" ht="13.5" hidden="false" customHeight="true" outlineLevel="0" collapsed="false">
      <c r="A2423" s="17" t="s">
        <v>1829</v>
      </c>
      <c r="B2423" s="4" t="s">
        <v>2345</v>
      </c>
    </row>
    <row r="2424" customFormat="false" ht="13.5" hidden="false" customHeight="true" outlineLevel="0" collapsed="false">
      <c r="A2424" s="17"/>
      <c r="B2424" s="18" t="s">
        <v>2346</v>
      </c>
    </row>
    <row r="2425" customFormat="false" ht="13.5" hidden="false" customHeight="true" outlineLevel="0" collapsed="false">
      <c r="A2425" s="17"/>
      <c r="B2425" s="4" t="s">
        <v>2347</v>
      </c>
    </row>
    <row r="2426" customFormat="false" ht="13.5" hidden="false" customHeight="true" outlineLevel="0" collapsed="false">
      <c r="A2426" s="17"/>
      <c r="B2426" s="18" t="s">
        <v>2348</v>
      </c>
    </row>
    <row r="2427" customFormat="false" ht="13.5" hidden="false" customHeight="true" outlineLevel="0" collapsed="false">
      <c r="A2427" s="17"/>
      <c r="B2427" s="4" t="s">
        <v>2349</v>
      </c>
    </row>
    <row r="2428" customFormat="false" ht="27.75" hidden="false" customHeight="true" outlineLevel="0" collapsed="false">
      <c r="A2428" s="17"/>
      <c r="B2428" s="18" t="s">
        <v>2350</v>
      </c>
    </row>
    <row r="2429" customFormat="false" ht="13.5" hidden="false" customHeight="true" outlineLevel="0" collapsed="false">
      <c r="A2429" s="17"/>
      <c r="B2429" s="4" t="s">
        <v>2351</v>
      </c>
    </row>
    <row r="2430" customFormat="false" ht="13.5" hidden="false" customHeight="true" outlineLevel="0" collapsed="false">
      <c r="A2430" s="17"/>
      <c r="B2430" s="18" t="s">
        <v>2352</v>
      </c>
    </row>
    <row r="2431" customFormat="false" ht="13.5" hidden="false" customHeight="true" outlineLevel="0" collapsed="false">
      <c r="A2431" s="17"/>
      <c r="B2431" s="4" t="s">
        <v>2353</v>
      </c>
    </row>
    <row r="2432" customFormat="false" ht="13.5" hidden="false" customHeight="true" outlineLevel="0" collapsed="false">
      <c r="A2432" s="17"/>
      <c r="B2432" s="18" t="s">
        <v>2354</v>
      </c>
    </row>
    <row r="2433" customFormat="false" ht="13.5" hidden="false" customHeight="true" outlineLevel="0" collapsed="false">
      <c r="A2433" s="17"/>
      <c r="B2433" s="4" t="s">
        <v>2355</v>
      </c>
    </row>
    <row r="2434" customFormat="false" ht="13.5" hidden="false" customHeight="true" outlineLevel="0" collapsed="false">
      <c r="A2434" s="17"/>
      <c r="B2434" s="18" t="s">
        <v>2356</v>
      </c>
    </row>
    <row r="2435" customFormat="false" ht="13.5" hidden="false" customHeight="true" outlineLevel="0" collapsed="false">
      <c r="A2435" s="17"/>
      <c r="B2435" s="4" t="s">
        <v>2357</v>
      </c>
    </row>
    <row r="2436" customFormat="false" ht="27.75" hidden="false" customHeight="true" outlineLevel="0" collapsed="false">
      <c r="A2436" s="17"/>
      <c r="B2436" s="18" t="s">
        <v>2358</v>
      </c>
    </row>
    <row r="2437" customFormat="false" ht="13.5" hidden="false" customHeight="true" outlineLevel="0" collapsed="false">
      <c r="A2437" s="17"/>
      <c r="B2437" s="4" t="s">
        <v>2359</v>
      </c>
    </row>
    <row r="2438" customFormat="false" ht="13.5" hidden="false" customHeight="true" outlineLevel="0" collapsed="false">
      <c r="A2438" s="17"/>
      <c r="B2438" s="18" t="s">
        <v>2360</v>
      </c>
    </row>
    <row r="2439" customFormat="false" ht="13.5" hidden="false" customHeight="true" outlineLevel="0" collapsed="false">
      <c r="A2439" s="17"/>
      <c r="B2439" s="4" t="s">
        <v>2361</v>
      </c>
    </row>
    <row r="2442" customFormat="false" ht="15" hidden="false" customHeight="false" outlineLevel="0" collapsed="false">
      <c r="A2442" s="15" t="s">
        <v>331</v>
      </c>
      <c r="B2442" s="15" t="s">
        <v>2362</v>
      </c>
    </row>
    <row r="2443" customFormat="false" ht="15" hidden="false" customHeight="false" outlineLevel="0" collapsed="false">
      <c r="B2443" s="16" t="str">
        <f aca="false">HYPERLINK("#Label!G110","← Back to label (row 110)")</f>
        <v>← Back to label (row 110)</v>
      </c>
    </row>
    <row r="2444" customFormat="false" ht="13.5" hidden="false" customHeight="true" outlineLevel="0" collapsed="false">
      <c r="A2444" s="17" t="s">
        <v>24</v>
      </c>
      <c r="B2444" s="18" t="s">
        <v>59</v>
      </c>
    </row>
    <row r="2445" customFormat="false" ht="13.5" hidden="false" customHeight="true" outlineLevel="0" collapsed="false">
      <c r="A2445" s="17" t="s">
        <v>450</v>
      </c>
      <c r="B2445" s="4" t="s">
        <v>2363</v>
      </c>
    </row>
    <row r="2446" customFormat="false" ht="13.5" hidden="false" customHeight="true" outlineLevel="0" collapsed="false">
      <c r="A2446" s="17" t="s">
        <v>452</v>
      </c>
      <c r="B2446" s="18" t="s">
        <v>2364</v>
      </c>
    </row>
    <row r="2447" customFormat="false" ht="55.5" hidden="false" customHeight="true" outlineLevel="0" collapsed="false">
      <c r="A2447" s="17" t="s">
        <v>454</v>
      </c>
      <c r="B2447" s="4" t="s">
        <v>2365</v>
      </c>
    </row>
    <row r="2448" customFormat="false" ht="13.5" hidden="false" customHeight="true" outlineLevel="0" collapsed="false">
      <c r="A2448" s="17" t="s">
        <v>456</v>
      </c>
      <c r="B2448" s="19" t="s">
        <v>457</v>
      </c>
    </row>
    <row r="2449" customFormat="false" ht="13.5" hidden="false" customHeight="true" outlineLevel="0" collapsed="false">
      <c r="A2449" s="17" t="s">
        <v>519</v>
      </c>
      <c r="B2449" s="4" t="s">
        <v>2366</v>
      </c>
    </row>
    <row r="2452" customFormat="false" ht="15" hidden="false" customHeight="false" outlineLevel="0" collapsed="false">
      <c r="A2452" s="15" t="s">
        <v>333</v>
      </c>
      <c r="B2452" s="15" t="s">
        <v>2367</v>
      </c>
    </row>
    <row r="2453" customFormat="false" ht="15" hidden="false" customHeight="false" outlineLevel="0" collapsed="false">
      <c r="B2453" s="16" t="str">
        <f aca="false">HYPERLINK("#Label!G111","← Back to label (row 111)")</f>
        <v>← Back to label (row 111)</v>
      </c>
    </row>
    <row r="2454" customFormat="false" ht="27.75" hidden="false" customHeight="true" outlineLevel="0" collapsed="false">
      <c r="A2454" s="17" t="s">
        <v>24</v>
      </c>
      <c r="B2454" s="18" t="s">
        <v>335</v>
      </c>
    </row>
    <row r="2455" customFormat="false" ht="13.5" hidden="false" customHeight="true" outlineLevel="0" collapsed="false">
      <c r="A2455" s="17" t="s">
        <v>450</v>
      </c>
      <c r="B2455" s="4" t="s">
        <v>2368</v>
      </c>
    </row>
    <row r="2456" customFormat="false" ht="13.5" hidden="false" customHeight="true" outlineLevel="0" collapsed="false">
      <c r="A2456" s="17" t="s">
        <v>452</v>
      </c>
      <c r="B2456" s="18" t="s">
        <v>2369</v>
      </c>
    </row>
    <row r="2457" customFormat="false" ht="97.5" hidden="false" customHeight="true" outlineLevel="0" collapsed="false">
      <c r="A2457" s="17" t="s">
        <v>454</v>
      </c>
      <c r="B2457" s="4" t="s">
        <v>2370</v>
      </c>
    </row>
    <row r="2458" customFormat="false" ht="13.5" hidden="false" customHeight="true" outlineLevel="0" collapsed="false">
      <c r="A2458" s="17" t="s">
        <v>456</v>
      </c>
      <c r="B2458" s="19" t="s">
        <v>457</v>
      </c>
    </row>
    <row r="2459" customFormat="false" ht="13.5" hidden="false" customHeight="true" outlineLevel="0" collapsed="false">
      <c r="A2459" s="17" t="s">
        <v>2371</v>
      </c>
      <c r="B2459" s="4" t="s">
        <v>2372</v>
      </c>
    </row>
    <row r="2460" customFormat="false" ht="13.5" hidden="false" customHeight="true" outlineLevel="0" collapsed="false">
      <c r="A2460" s="17"/>
      <c r="B2460" s="18" t="s">
        <v>2373</v>
      </c>
    </row>
    <row r="2461" customFormat="false" ht="13.5" hidden="false" customHeight="true" outlineLevel="0" collapsed="false">
      <c r="A2461" s="17"/>
      <c r="B2461" s="4" t="s">
        <v>2374</v>
      </c>
    </row>
    <row r="2462" customFormat="false" ht="27.75" hidden="false" customHeight="true" outlineLevel="0" collapsed="false">
      <c r="A2462" s="17"/>
      <c r="B2462" s="18" t="s">
        <v>2375</v>
      </c>
    </row>
    <row r="2463" customFormat="false" ht="27.75" hidden="false" customHeight="true" outlineLevel="0" collapsed="false">
      <c r="A2463" s="17"/>
      <c r="B2463" s="4" t="s">
        <v>2376</v>
      </c>
    </row>
    <row r="2464" customFormat="false" ht="13.5" hidden="false" customHeight="true" outlineLevel="0" collapsed="false">
      <c r="A2464" s="17"/>
      <c r="B2464" s="18" t="s">
        <v>2377</v>
      </c>
    </row>
    <row r="2465" customFormat="false" ht="13.5" hidden="false" customHeight="true" outlineLevel="0" collapsed="false">
      <c r="A2465" s="17"/>
      <c r="B2465" s="4" t="s">
        <v>2378</v>
      </c>
    </row>
    <row r="2466" customFormat="false" ht="13.5" hidden="false" customHeight="true" outlineLevel="0" collapsed="false">
      <c r="A2466" s="17"/>
      <c r="B2466" s="18" t="s">
        <v>2379</v>
      </c>
    </row>
    <row r="2467" customFormat="false" ht="27.75" hidden="false" customHeight="true" outlineLevel="0" collapsed="false">
      <c r="A2467" s="17"/>
      <c r="B2467" s="4" t="s">
        <v>2380</v>
      </c>
    </row>
    <row r="2468" customFormat="false" ht="13.5" hidden="false" customHeight="true" outlineLevel="0" collapsed="false">
      <c r="A2468" s="17"/>
      <c r="B2468" s="18" t="s">
        <v>2381</v>
      </c>
    </row>
    <row r="2469" customFormat="false" ht="13.5" hidden="false" customHeight="true" outlineLevel="0" collapsed="false">
      <c r="A2469" s="17"/>
      <c r="B2469" s="4" t="s">
        <v>2382</v>
      </c>
    </row>
    <row r="2470" customFormat="false" ht="13.5" hidden="false" customHeight="true" outlineLevel="0" collapsed="false">
      <c r="A2470" s="17"/>
      <c r="B2470" s="18" t="s">
        <v>2383</v>
      </c>
    </row>
    <row r="2471" customFormat="false" ht="13.5" hidden="false" customHeight="true" outlineLevel="0" collapsed="false">
      <c r="A2471" s="17"/>
      <c r="B2471" s="4" t="s">
        <v>2384</v>
      </c>
    </row>
    <row r="2474" customFormat="false" ht="15" hidden="false" customHeight="false" outlineLevel="0" collapsed="false">
      <c r="A2474" s="15" t="s">
        <v>337</v>
      </c>
      <c r="B2474" s="15" t="s">
        <v>2385</v>
      </c>
    </row>
    <row r="2475" customFormat="false" ht="15" hidden="false" customHeight="false" outlineLevel="0" collapsed="false">
      <c r="B2475" s="16" t="str">
        <f aca="false">HYPERLINK("#Label!G112","← Back to label (row 112)")</f>
        <v>← Back to label (row 112)</v>
      </c>
    </row>
    <row r="2476" customFormat="false" ht="13.5" hidden="false" customHeight="true" outlineLevel="0" collapsed="false">
      <c r="A2476" s="17" t="s">
        <v>24</v>
      </c>
      <c r="B2476" s="18" t="s">
        <v>71</v>
      </c>
    </row>
    <row r="2477" customFormat="false" ht="13.5" hidden="false" customHeight="true" outlineLevel="0" collapsed="false">
      <c r="A2477" s="17" t="s">
        <v>450</v>
      </c>
      <c r="B2477" s="4" t="s">
        <v>2386</v>
      </c>
    </row>
    <row r="2478" customFormat="false" ht="13.5" hidden="false" customHeight="true" outlineLevel="0" collapsed="false">
      <c r="A2478" s="17" t="s">
        <v>454</v>
      </c>
      <c r="B2478" s="19" t="s">
        <v>486</v>
      </c>
    </row>
    <row r="2479" customFormat="false" ht="13.5" hidden="false" customHeight="true" outlineLevel="0" collapsed="false">
      <c r="A2479" s="17" t="s">
        <v>456</v>
      </c>
      <c r="B2479" s="20" t="s">
        <v>457</v>
      </c>
    </row>
    <row r="2480" customFormat="false" ht="27.75" hidden="false" customHeight="true" outlineLevel="0" collapsed="false">
      <c r="A2480" s="17" t="s">
        <v>1376</v>
      </c>
      <c r="B2480" s="18" t="s">
        <v>2387</v>
      </c>
    </row>
    <row r="2481" customFormat="false" ht="13.5" hidden="false" customHeight="true" outlineLevel="0" collapsed="false">
      <c r="A2481" s="17"/>
      <c r="B2481" s="4" t="s">
        <v>2388</v>
      </c>
    </row>
    <row r="2482" customFormat="false" ht="13.5" hidden="false" customHeight="true" outlineLevel="0" collapsed="false">
      <c r="A2482" s="17"/>
      <c r="B2482" s="18" t="s">
        <v>2389</v>
      </c>
    </row>
    <row r="2483" customFormat="false" ht="13.5" hidden="false" customHeight="true" outlineLevel="0" collapsed="false">
      <c r="A2483" s="17"/>
      <c r="B2483" s="4" t="s">
        <v>2390</v>
      </c>
    </row>
    <row r="2484" customFormat="false" ht="13.5" hidden="false" customHeight="true" outlineLevel="0" collapsed="false">
      <c r="A2484" s="17"/>
      <c r="B2484" s="18" t="s">
        <v>2391</v>
      </c>
    </row>
    <row r="2487" customFormat="false" ht="15" hidden="false" customHeight="false" outlineLevel="0" collapsed="false">
      <c r="A2487" s="15" t="s">
        <v>339</v>
      </c>
      <c r="B2487" s="15" t="s">
        <v>2392</v>
      </c>
    </row>
    <row r="2488" customFormat="false" ht="15" hidden="false" customHeight="false" outlineLevel="0" collapsed="false">
      <c r="B2488" s="16" t="str">
        <f aca="false">HYPERLINK("#Label!G113","← Back to label (row 113)")</f>
        <v>← Back to label (row 113)</v>
      </c>
    </row>
    <row r="2489" customFormat="false" ht="13.5" hidden="false" customHeight="true" outlineLevel="0" collapsed="false">
      <c r="A2489" s="17" t="s">
        <v>24</v>
      </c>
      <c r="B2489" s="18" t="s">
        <v>71</v>
      </c>
    </row>
    <row r="2490" customFormat="false" ht="13.5" hidden="false" customHeight="true" outlineLevel="0" collapsed="false">
      <c r="A2490" s="17" t="s">
        <v>450</v>
      </c>
      <c r="B2490" s="4" t="s">
        <v>2393</v>
      </c>
    </row>
    <row r="2491" customFormat="false" ht="13.5" hidden="false" customHeight="true" outlineLevel="0" collapsed="false">
      <c r="A2491" s="17" t="s">
        <v>452</v>
      </c>
      <c r="B2491" s="18" t="s">
        <v>2394</v>
      </c>
    </row>
    <row r="2492" customFormat="false" ht="97.5" hidden="false" customHeight="true" outlineLevel="0" collapsed="false">
      <c r="A2492" s="17" t="s">
        <v>454</v>
      </c>
      <c r="B2492" s="4" t="s">
        <v>2395</v>
      </c>
    </row>
    <row r="2493" customFormat="false" ht="13.5" hidden="false" customHeight="true" outlineLevel="0" collapsed="false">
      <c r="A2493" s="17" t="s">
        <v>456</v>
      </c>
      <c r="B2493" s="19" t="s">
        <v>457</v>
      </c>
    </row>
    <row r="2494" customFormat="false" ht="13.5" hidden="false" customHeight="true" outlineLevel="0" collapsed="false">
      <c r="A2494" s="17" t="s">
        <v>564</v>
      </c>
      <c r="B2494" s="4" t="s">
        <v>2396</v>
      </c>
    </row>
    <row r="2495" customFormat="false" ht="13.5" hidden="false" customHeight="true" outlineLevel="0" collapsed="false">
      <c r="A2495" s="17"/>
      <c r="B2495" s="18" t="s">
        <v>2397</v>
      </c>
    </row>
    <row r="2496" customFormat="false" ht="13.5" hidden="false" customHeight="true" outlineLevel="0" collapsed="false">
      <c r="A2496" s="17"/>
      <c r="B2496" s="4" t="s">
        <v>2398</v>
      </c>
    </row>
    <row r="2497" customFormat="false" ht="13.5" hidden="false" customHeight="true" outlineLevel="0" collapsed="false">
      <c r="A2497" s="17"/>
      <c r="B2497" s="18" t="s">
        <v>2399</v>
      </c>
    </row>
    <row r="2498" customFormat="false" ht="13.5" hidden="false" customHeight="true" outlineLevel="0" collapsed="false">
      <c r="A2498" s="17"/>
      <c r="B2498" s="4" t="s">
        <v>2400</v>
      </c>
    </row>
    <row r="2499" customFormat="false" ht="13.5" hidden="false" customHeight="true" outlineLevel="0" collapsed="false">
      <c r="A2499" s="17"/>
      <c r="B2499" s="18" t="s">
        <v>2401</v>
      </c>
    </row>
    <row r="2502" customFormat="false" ht="15" hidden="false" customHeight="false" outlineLevel="0" collapsed="false">
      <c r="A2502" s="15" t="s">
        <v>341</v>
      </c>
      <c r="B2502" s="15" t="s">
        <v>2402</v>
      </c>
    </row>
    <row r="2503" customFormat="false" ht="15" hidden="false" customHeight="false" outlineLevel="0" collapsed="false">
      <c r="B2503" s="16" t="str">
        <f aca="false">HYPERLINK("#Label!G114","← Back to label (row 114)")</f>
        <v>← Back to label (row 114)</v>
      </c>
    </row>
    <row r="2504" customFormat="false" ht="27.75" hidden="false" customHeight="true" outlineLevel="0" collapsed="false">
      <c r="A2504" s="17" t="s">
        <v>24</v>
      </c>
      <c r="B2504" s="18" t="s">
        <v>343</v>
      </c>
    </row>
    <row r="2505" customFormat="false" ht="13.5" hidden="false" customHeight="true" outlineLevel="0" collapsed="false">
      <c r="A2505" s="17" t="s">
        <v>450</v>
      </c>
      <c r="B2505" s="4" t="s">
        <v>2403</v>
      </c>
    </row>
    <row r="2506" customFormat="false" ht="13.5" hidden="false" customHeight="true" outlineLevel="0" collapsed="false">
      <c r="A2506" s="17" t="s">
        <v>452</v>
      </c>
      <c r="B2506" s="18" t="s">
        <v>2404</v>
      </c>
    </row>
    <row r="2507" customFormat="false" ht="111.75" hidden="false" customHeight="true" outlineLevel="0" collapsed="false">
      <c r="A2507" s="17" t="s">
        <v>454</v>
      </c>
      <c r="B2507" s="4" t="s">
        <v>2405</v>
      </c>
    </row>
    <row r="2508" customFormat="false" ht="13.5" hidden="false" customHeight="true" outlineLevel="0" collapsed="false">
      <c r="A2508" s="17" t="s">
        <v>456</v>
      </c>
      <c r="B2508" s="19" t="s">
        <v>457</v>
      </c>
    </row>
    <row r="2509" customFormat="false" ht="13.5" hidden="false" customHeight="true" outlineLevel="0" collapsed="false">
      <c r="A2509" s="17" t="s">
        <v>508</v>
      </c>
      <c r="B2509" s="20" t="s">
        <v>509</v>
      </c>
    </row>
    <row r="2512" customFormat="false" ht="15" hidden="false" customHeight="false" outlineLevel="0" collapsed="false">
      <c r="A2512" s="15" t="s">
        <v>344</v>
      </c>
      <c r="B2512" s="15" t="s">
        <v>2406</v>
      </c>
    </row>
    <row r="2513" customFormat="false" ht="15" hidden="false" customHeight="false" outlineLevel="0" collapsed="false">
      <c r="B2513" s="16" t="str">
        <f aca="false">HYPERLINK("#Label!G115","← Back to label (row 115)")</f>
        <v>← Back to label (row 115)</v>
      </c>
    </row>
    <row r="2514" customFormat="false" ht="13.5" hidden="false" customHeight="true" outlineLevel="0" collapsed="false">
      <c r="A2514" s="17" t="s">
        <v>24</v>
      </c>
      <c r="B2514" s="18" t="s">
        <v>346</v>
      </c>
    </row>
    <row r="2515" customFormat="false" ht="13.5" hidden="false" customHeight="true" outlineLevel="0" collapsed="false">
      <c r="A2515" s="17" t="s">
        <v>450</v>
      </c>
      <c r="B2515" s="4" t="s">
        <v>2407</v>
      </c>
    </row>
    <row r="2516" customFormat="false" ht="13.5" hidden="false" customHeight="true" outlineLevel="0" collapsed="false">
      <c r="A2516" s="17" t="s">
        <v>454</v>
      </c>
      <c r="B2516" s="19" t="s">
        <v>486</v>
      </c>
    </row>
    <row r="2517" customFormat="false" ht="13.5" hidden="false" customHeight="true" outlineLevel="0" collapsed="false">
      <c r="A2517" s="17" t="s">
        <v>456</v>
      </c>
      <c r="B2517" s="20" t="s">
        <v>457</v>
      </c>
    </row>
    <row r="2518" customFormat="false" ht="13.5" hidden="false" customHeight="true" outlineLevel="0" collapsed="false">
      <c r="A2518" s="17" t="s">
        <v>2408</v>
      </c>
      <c r="B2518" s="18" t="s">
        <v>2409</v>
      </c>
    </row>
    <row r="2519" customFormat="false" ht="13.5" hidden="false" customHeight="true" outlineLevel="0" collapsed="false">
      <c r="A2519" s="17"/>
      <c r="B2519" s="4" t="s">
        <v>2410</v>
      </c>
    </row>
    <row r="2520" customFormat="false" ht="13.5" hidden="false" customHeight="true" outlineLevel="0" collapsed="false">
      <c r="A2520" s="17"/>
      <c r="B2520" s="18" t="s">
        <v>2411</v>
      </c>
    </row>
    <row r="2521" customFormat="false" ht="13.5" hidden="false" customHeight="true" outlineLevel="0" collapsed="false">
      <c r="A2521" s="17"/>
      <c r="B2521" s="4" t="s">
        <v>2412</v>
      </c>
    </row>
    <row r="2522" customFormat="false" ht="13.5" hidden="false" customHeight="true" outlineLevel="0" collapsed="false">
      <c r="A2522" s="17"/>
      <c r="B2522" s="18" t="s">
        <v>2413</v>
      </c>
    </row>
    <row r="2523" customFormat="false" ht="13.5" hidden="false" customHeight="true" outlineLevel="0" collapsed="false">
      <c r="A2523" s="17"/>
      <c r="B2523" s="4" t="s">
        <v>2414</v>
      </c>
    </row>
    <row r="2524" customFormat="false" ht="27.75" hidden="false" customHeight="true" outlineLevel="0" collapsed="false">
      <c r="A2524" s="17"/>
      <c r="B2524" s="18" t="s">
        <v>2415</v>
      </c>
    </row>
    <row r="2525" customFormat="false" ht="13.5" hidden="false" customHeight="true" outlineLevel="0" collapsed="false">
      <c r="A2525" s="17"/>
      <c r="B2525" s="4" t="s">
        <v>2416</v>
      </c>
    </row>
    <row r="2526" customFormat="false" ht="13.5" hidden="false" customHeight="true" outlineLevel="0" collapsed="false">
      <c r="A2526" s="17"/>
      <c r="B2526" s="18" t="s">
        <v>2417</v>
      </c>
    </row>
    <row r="2527" customFormat="false" ht="13.5" hidden="false" customHeight="true" outlineLevel="0" collapsed="false">
      <c r="A2527" s="17"/>
      <c r="B2527" s="4" t="s">
        <v>2418</v>
      </c>
    </row>
    <row r="2528" customFormat="false" ht="13.5" hidden="false" customHeight="true" outlineLevel="0" collapsed="false">
      <c r="A2528" s="17"/>
      <c r="B2528" s="18" t="s">
        <v>2419</v>
      </c>
    </row>
    <row r="2529" customFormat="false" ht="13.5" hidden="false" customHeight="true" outlineLevel="0" collapsed="false">
      <c r="A2529" s="17"/>
      <c r="B2529" s="4" t="s">
        <v>2420</v>
      </c>
    </row>
    <row r="2530" customFormat="false" ht="13.5" hidden="false" customHeight="true" outlineLevel="0" collapsed="false">
      <c r="A2530" s="17"/>
      <c r="B2530" s="18" t="s">
        <v>2421</v>
      </c>
    </row>
    <row r="2531" customFormat="false" ht="13.5" hidden="false" customHeight="true" outlineLevel="0" collapsed="false">
      <c r="A2531" s="17"/>
      <c r="B2531" s="4" t="s">
        <v>2422</v>
      </c>
    </row>
    <row r="2532" customFormat="false" ht="13.5" hidden="false" customHeight="true" outlineLevel="0" collapsed="false">
      <c r="A2532" s="17"/>
      <c r="B2532" s="18" t="s">
        <v>2423</v>
      </c>
    </row>
    <row r="2533" customFormat="false" ht="13.5" hidden="false" customHeight="true" outlineLevel="0" collapsed="false">
      <c r="A2533" s="17"/>
      <c r="B2533" s="4" t="s">
        <v>2424</v>
      </c>
    </row>
    <row r="2534" customFormat="false" ht="13.5" hidden="false" customHeight="true" outlineLevel="0" collapsed="false">
      <c r="A2534" s="17"/>
      <c r="B2534" s="18" t="s">
        <v>2425</v>
      </c>
    </row>
    <row r="2535" customFormat="false" ht="13.5" hidden="false" customHeight="true" outlineLevel="0" collapsed="false">
      <c r="A2535" s="17"/>
      <c r="B2535" s="4" t="s">
        <v>2426</v>
      </c>
    </row>
    <row r="2536" customFormat="false" ht="13.5" hidden="false" customHeight="true" outlineLevel="0" collapsed="false">
      <c r="A2536" s="17"/>
      <c r="B2536" s="18" t="s">
        <v>2427</v>
      </c>
    </row>
    <row r="2537" customFormat="false" ht="13.5" hidden="false" customHeight="true" outlineLevel="0" collapsed="false">
      <c r="A2537" s="17"/>
      <c r="B2537" s="4" t="s">
        <v>2428</v>
      </c>
    </row>
    <row r="2538" customFormat="false" ht="13.5" hidden="false" customHeight="true" outlineLevel="0" collapsed="false">
      <c r="A2538" s="17"/>
      <c r="B2538" s="18" t="s">
        <v>2429</v>
      </c>
    </row>
    <row r="2539" customFormat="false" ht="13.5" hidden="false" customHeight="true" outlineLevel="0" collapsed="false">
      <c r="A2539" s="17"/>
      <c r="B2539" s="4" t="s">
        <v>2430</v>
      </c>
    </row>
    <row r="2540" customFormat="false" ht="27.75" hidden="false" customHeight="true" outlineLevel="0" collapsed="false">
      <c r="A2540" s="17"/>
      <c r="B2540" s="18" t="s">
        <v>2431</v>
      </c>
    </row>
    <row r="2541" customFormat="false" ht="13.5" hidden="false" customHeight="true" outlineLevel="0" collapsed="false">
      <c r="A2541" s="17"/>
      <c r="B2541" s="4" t="s">
        <v>2432</v>
      </c>
    </row>
    <row r="2542" customFormat="false" ht="13.5" hidden="false" customHeight="true" outlineLevel="0" collapsed="false">
      <c r="A2542" s="17"/>
      <c r="B2542" s="18" t="s">
        <v>2433</v>
      </c>
    </row>
    <row r="2543" customFormat="false" ht="13.5" hidden="false" customHeight="true" outlineLevel="0" collapsed="false">
      <c r="A2543" s="17"/>
      <c r="B2543" s="4" t="s">
        <v>2434</v>
      </c>
    </row>
    <row r="2544" customFormat="false" ht="13.5" hidden="false" customHeight="true" outlineLevel="0" collapsed="false">
      <c r="A2544" s="17"/>
      <c r="B2544" s="18" t="s">
        <v>2435</v>
      </c>
    </row>
    <row r="2545" customFormat="false" ht="13.5" hidden="false" customHeight="true" outlineLevel="0" collapsed="false">
      <c r="A2545" s="17"/>
      <c r="B2545" s="4" t="s">
        <v>2436</v>
      </c>
    </row>
    <row r="2546" customFormat="false" ht="13.5" hidden="false" customHeight="true" outlineLevel="0" collapsed="false">
      <c r="A2546" s="17"/>
      <c r="B2546" s="18" t="s">
        <v>2437</v>
      </c>
    </row>
    <row r="2547" customFormat="false" ht="13.5" hidden="false" customHeight="true" outlineLevel="0" collapsed="false">
      <c r="A2547" s="17"/>
      <c r="B2547" s="4" t="s">
        <v>2438</v>
      </c>
    </row>
    <row r="2548" customFormat="false" ht="13.5" hidden="false" customHeight="true" outlineLevel="0" collapsed="false">
      <c r="A2548" s="17"/>
      <c r="B2548" s="18" t="s">
        <v>2439</v>
      </c>
    </row>
    <row r="2549" customFormat="false" ht="13.5" hidden="false" customHeight="true" outlineLevel="0" collapsed="false">
      <c r="A2549" s="17"/>
      <c r="B2549" s="4" t="s">
        <v>2440</v>
      </c>
    </row>
    <row r="2550" customFormat="false" ht="13.5" hidden="false" customHeight="true" outlineLevel="0" collapsed="false">
      <c r="A2550" s="17"/>
      <c r="B2550" s="18" t="s">
        <v>2441</v>
      </c>
    </row>
    <row r="2551" customFormat="false" ht="13.5" hidden="false" customHeight="true" outlineLevel="0" collapsed="false">
      <c r="A2551" s="17"/>
      <c r="B2551" s="4" t="s">
        <v>2442</v>
      </c>
    </row>
    <row r="2552" customFormat="false" ht="13.5" hidden="false" customHeight="true" outlineLevel="0" collapsed="false">
      <c r="A2552" s="17"/>
      <c r="B2552" s="18" t="s">
        <v>2443</v>
      </c>
    </row>
    <row r="2553" customFormat="false" ht="13.5" hidden="false" customHeight="true" outlineLevel="0" collapsed="false">
      <c r="A2553" s="17"/>
      <c r="B2553" s="4" t="s">
        <v>2444</v>
      </c>
    </row>
    <row r="2554" customFormat="false" ht="13.5" hidden="false" customHeight="true" outlineLevel="0" collapsed="false">
      <c r="A2554" s="17"/>
      <c r="B2554" s="18" t="s">
        <v>2445</v>
      </c>
    </row>
    <row r="2555" customFormat="false" ht="13.5" hidden="false" customHeight="true" outlineLevel="0" collapsed="false">
      <c r="A2555" s="17"/>
      <c r="B2555" s="4" t="s">
        <v>2446</v>
      </c>
    </row>
    <row r="2556" customFormat="false" ht="27.75" hidden="false" customHeight="true" outlineLevel="0" collapsed="false">
      <c r="A2556" s="17"/>
      <c r="B2556" s="18" t="s">
        <v>2447</v>
      </c>
    </row>
    <row r="2557" customFormat="false" ht="13.5" hidden="false" customHeight="true" outlineLevel="0" collapsed="false">
      <c r="A2557" s="17"/>
      <c r="B2557" s="4" t="s">
        <v>2448</v>
      </c>
    </row>
    <row r="2558" customFormat="false" ht="13.5" hidden="false" customHeight="true" outlineLevel="0" collapsed="false">
      <c r="A2558" s="17"/>
      <c r="B2558" s="18" t="s">
        <v>2449</v>
      </c>
    </row>
    <row r="2559" customFormat="false" ht="13.5" hidden="false" customHeight="true" outlineLevel="0" collapsed="false">
      <c r="A2559" s="17"/>
      <c r="B2559" s="4" t="s">
        <v>2450</v>
      </c>
    </row>
    <row r="2560" customFormat="false" ht="13.5" hidden="false" customHeight="true" outlineLevel="0" collapsed="false">
      <c r="A2560" s="17"/>
      <c r="B2560" s="18" t="s">
        <v>2451</v>
      </c>
    </row>
    <row r="2561" customFormat="false" ht="13.5" hidden="false" customHeight="true" outlineLevel="0" collapsed="false">
      <c r="A2561" s="17"/>
      <c r="B2561" s="4" t="s">
        <v>2452</v>
      </c>
    </row>
    <row r="2562" customFormat="false" ht="13.5" hidden="false" customHeight="true" outlineLevel="0" collapsed="false">
      <c r="A2562" s="17"/>
      <c r="B2562" s="18" t="s">
        <v>2453</v>
      </c>
    </row>
    <row r="2563" customFormat="false" ht="13.5" hidden="false" customHeight="true" outlineLevel="0" collapsed="false">
      <c r="A2563" s="17"/>
      <c r="B2563" s="4" t="s">
        <v>2454</v>
      </c>
    </row>
    <row r="2564" customFormat="false" ht="13.5" hidden="false" customHeight="true" outlineLevel="0" collapsed="false">
      <c r="A2564" s="17"/>
      <c r="B2564" s="18" t="s">
        <v>2455</v>
      </c>
    </row>
    <row r="2565" customFormat="false" ht="13.5" hidden="false" customHeight="true" outlineLevel="0" collapsed="false">
      <c r="A2565" s="17"/>
      <c r="B2565" s="4" t="s">
        <v>2456</v>
      </c>
    </row>
    <row r="2566" customFormat="false" ht="13.5" hidden="false" customHeight="true" outlineLevel="0" collapsed="false">
      <c r="A2566" s="17"/>
      <c r="B2566" s="18" t="s">
        <v>2457</v>
      </c>
    </row>
    <row r="2567" customFormat="false" ht="13.5" hidden="false" customHeight="true" outlineLevel="0" collapsed="false">
      <c r="A2567" s="17"/>
      <c r="B2567" s="4" t="s">
        <v>2458</v>
      </c>
    </row>
    <row r="2568" customFormat="false" ht="13.5" hidden="false" customHeight="true" outlineLevel="0" collapsed="false">
      <c r="A2568" s="17"/>
      <c r="B2568" s="18" t="s">
        <v>2459</v>
      </c>
    </row>
    <row r="2569" customFormat="false" ht="13.5" hidden="false" customHeight="true" outlineLevel="0" collapsed="false">
      <c r="A2569" s="17"/>
      <c r="B2569" s="4" t="s">
        <v>2460</v>
      </c>
    </row>
    <row r="2570" customFormat="false" ht="13.5" hidden="false" customHeight="true" outlineLevel="0" collapsed="false">
      <c r="A2570" s="17"/>
      <c r="B2570" s="18" t="s">
        <v>2461</v>
      </c>
    </row>
    <row r="2571" customFormat="false" ht="13.5" hidden="false" customHeight="true" outlineLevel="0" collapsed="false">
      <c r="A2571" s="17"/>
      <c r="B2571" s="4" t="s">
        <v>2462</v>
      </c>
    </row>
    <row r="2572" customFormat="false" ht="13.5" hidden="false" customHeight="true" outlineLevel="0" collapsed="false">
      <c r="A2572" s="17"/>
      <c r="B2572" s="18" t="s">
        <v>2463</v>
      </c>
    </row>
    <row r="2573" customFormat="false" ht="13.5" hidden="false" customHeight="true" outlineLevel="0" collapsed="false">
      <c r="A2573" s="17"/>
      <c r="B2573" s="4" t="s">
        <v>2464</v>
      </c>
    </row>
    <row r="2574" customFormat="false" ht="13.5" hidden="false" customHeight="true" outlineLevel="0" collapsed="false">
      <c r="A2574" s="17"/>
      <c r="B2574" s="18" t="s">
        <v>2465</v>
      </c>
    </row>
    <row r="2575" customFormat="false" ht="13.5" hidden="false" customHeight="true" outlineLevel="0" collapsed="false">
      <c r="A2575" s="17"/>
      <c r="B2575" s="4" t="s">
        <v>2466</v>
      </c>
    </row>
    <row r="2576" customFormat="false" ht="13.5" hidden="false" customHeight="true" outlineLevel="0" collapsed="false">
      <c r="A2576" s="17"/>
      <c r="B2576" s="18" t="s">
        <v>2467</v>
      </c>
    </row>
    <row r="2577" customFormat="false" ht="13.5" hidden="false" customHeight="true" outlineLevel="0" collapsed="false">
      <c r="A2577" s="17"/>
      <c r="B2577" s="4" t="s">
        <v>2468</v>
      </c>
    </row>
    <row r="2578" customFormat="false" ht="13.5" hidden="false" customHeight="true" outlineLevel="0" collapsed="false">
      <c r="A2578" s="17"/>
      <c r="B2578" s="19" t="s">
        <v>2469</v>
      </c>
    </row>
    <row r="2581" customFormat="false" ht="15" hidden="false" customHeight="false" outlineLevel="0" collapsed="false">
      <c r="A2581" s="15" t="s">
        <v>347</v>
      </c>
      <c r="B2581" s="15" t="s">
        <v>2470</v>
      </c>
    </row>
    <row r="2582" customFormat="false" ht="15" hidden="false" customHeight="false" outlineLevel="0" collapsed="false">
      <c r="B2582" s="16" t="str">
        <f aca="false">HYPERLINK("#Label!G116","← Back to label (row 116)")</f>
        <v>← Back to label (row 116)</v>
      </c>
    </row>
    <row r="2583" customFormat="false" ht="13.5" hidden="false" customHeight="true" outlineLevel="0" collapsed="false">
      <c r="A2583" s="17" t="s">
        <v>24</v>
      </c>
      <c r="B2583" s="18" t="s">
        <v>59</v>
      </c>
    </row>
    <row r="2584" customFormat="false" ht="13.5" hidden="false" customHeight="true" outlineLevel="0" collapsed="false">
      <c r="A2584" s="17" t="s">
        <v>450</v>
      </c>
      <c r="B2584" s="4" t="s">
        <v>2471</v>
      </c>
    </row>
    <row r="2585" customFormat="false" ht="13.5" hidden="false" customHeight="true" outlineLevel="0" collapsed="false">
      <c r="A2585" s="17" t="s">
        <v>452</v>
      </c>
      <c r="B2585" s="18" t="s">
        <v>2472</v>
      </c>
    </row>
    <row r="2586" customFormat="false" ht="181.5" hidden="false" customHeight="true" outlineLevel="0" collapsed="false">
      <c r="A2586" s="17" t="s">
        <v>454</v>
      </c>
      <c r="B2586" s="4" t="s">
        <v>2473</v>
      </c>
    </row>
    <row r="2587" customFormat="false" ht="13.5" hidden="false" customHeight="true" outlineLevel="0" collapsed="false">
      <c r="A2587" s="17" t="s">
        <v>456</v>
      </c>
      <c r="B2587" s="19" t="s">
        <v>457</v>
      </c>
    </row>
    <row r="2588" customFormat="false" ht="13.5" hidden="false" customHeight="true" outlineLevel="0" collapsed="false">
      <c r="A2588" s="17" t="s">
        <v>729</v>
      </c>
      <c r="B2588" s="4" t="s">
        <v>2474</v>
      </c>
    </row>
    <row r="2589" customFormat="false" ht="13.5" hidden="false" customHeight="true" outlineLevel="0" collapsed="false">
      <c r="A2589" s="17"/>
      <c r="B2589" s="18" t="s">
        <v>2475</v>
      </c>
    </row>
    <row r="2590" customFormat="false" ht="13.5" hidden="false" customHeight="true" outlineLevel="0" collapsed="false">
      <c r="A2590" s="17"/>
      <c r="B2590" s="4" t="s">
        <v>2476</v>
      </c>
    </row>
    <row r="2591" customFormat="false" ht="27.75" hidden="false" customHeight="true" outlineLevel="0" collapsed="false">
      <c r="A2591" s="17"/>
      <c r="B2591" s="18" t="s">
        <v>2477</v>
      </c>
    </row>
    <row r="2592" customFormat="false" ht="13.5" hidden="false" customHeight="true" outlineLevel="0" collapsed="false">
      <c r="A2592" s="17"/>
      <c r="B2592" s="4" t="s">
        <v>2478</v>
      </c>
    </row>
    <row r="2593" customFormat="false" ht="13.5" hidden="false" customHeight="true" outlineLevel="0" collapsed="false">
      <c r="A2593" s="17"/>
      <c r="B2593" s="18" t="s">
        <v>2479</v>
      </c>
    </row>
    <row r="2594" customFormat="false" ht="13.5" hidden="false" customHeight="true" outlineLevel="0" collapsed="false">
      <c r="A2594" s="17"/>
      <c r="B2594" s="4" t="s">
        <v>2480</v>
      </c>
    </row>
    <row r="2595" customFormat="false" ht="13.5" hidden="false" customHeight="true" outlineLevel="0" collapsed="false">
      <c r="A2595" s="17"/>
      <c r="B2595" s="18" t="s">
        <v>2481</v>
      </c>
    </row>
    <row r="2596" customFormat="false" ht="13.5" hidden="false" customHeight="true" outlineLevel="0" collapsed="false">
      <c r="A2596" s="17"/>
      <c r="B2596" s="4" t="s">
        <v>2482</v>
      </c>
    </row>
    <row r="2597" customFormat="false" ht="13.5" hidden="false" customHeight="true" outlineLevel="0" collapsed="false">
      <c r="A2597" s="17"/>
      <c r="B2597" s="18" t="s">
        <v>2483</v>
      </c>
    </row>
    <row r="2598" customFormat="false" ht="13.5" hidden="false" customHeight="true" outlineLevel="0" collapsed="false">
      <c r="A2598" s="17"/>
      <c r="B2598" s="4" t="s">
        <v>2484</v>
      </c>
    </row>
    <row r="2601" customFormat="false" ht="15" hidden="false" customHeight="false" outlineLevel="0" collapsed="false">
      <c r="A2601" s="15" t="s">
        <v>349</v>
      </c>
      <c r="B2601" s="15" t="s">
        <v>2485</v>
      </c>
    </row>
    <row r="2602" customFormat="false" ht="15" hidden="false" customHeight="false" outlineLevel="0" collapsed="false">
      <c r="B2602" s="16" t="str">
        <f aca="false">HYPERLINK("#Label!G117","← Back to label (row 117)")</f>
        <v>← Back to label (row 117)</v>
      </c>
    </row>
    <row r="2603" customFormat="false" ht="13.5" hidden="false" customHeight="true" outlineLevel="0" collapsed="false">
      <c r="A2603" s="17" t="s">
        <v>24</v>
      </c>
      <c r="B2603" s="18" t="s">
        <v>59</v>
      </c>
    </row>
    <row r="2604" customFormat="false" ht="13.5" hidden="false" customHeight="true" outlineLevel="0" collapsed="false">
      <c r="A2604" s="17" t="s">
        <v>450</v>
      </c>
      <c r="B2604" s="4" t="s">
        <v>2486</v>
      </c>
    </row>
    <row r="2605" customFormat="false" ht="13.5" hidden="false" customHeight="true" outlineLevel="0" collapsed="false">
      <c r="A2605" s="17" t="s">
        <v>452</v>
      </c>
      <c r="B2605" s="18" t="s">
        <v>2487</v>
      </c>
    </row>
    <row r="2606" customFormat="false" ht="27.75" hidden="false" customHeight="true" outlineLevel="0" collapsed="false">
      <c r="A2606" s="17" t="s">
        <v>454</v>
      </c>
      <c r="B2606" s="4" t="s">
        <v>2488</v>
      </c>
    </row>
    <row r="2607" customFormat="false" ht="13.5" hidden="false" customHeight="true" outlineLevel="0" collapsed="false">
      <c r="A2607" s="17" t="s">
        <v>456</v>
      </c>
      <c r="B2607" s="19" t="s">
        <v>457</v>
      </c>
    </row>
    <row r="2608" customFormat="false" ht="27.75" hidden="false" customHeight="true" outlineLevel="0" collapsed="false">
      <c r="A2608" s="17" t="s">
        <v>1195</v>
      </c>
      <c r="B2608" s="4" t="s">
        <v>2489</v>
      </c>
    </row>
    <row r="2609" customFormat="false" ht="13.5" hidden="false" customHeight="true" outlineLevel="0" collapsed="false">
      <c r="A2609" s="17"/>
      <c r="B2609" s="18" t="s">
        <v>2490</v>
      </c>
    </row>
    <row r="2610" customFormat="false" ht="13.5" hidden="false" customHeight="true" outlineLevel="0" collapsed="false">
      <c r="A2610" s="17"/>
      <c r="B2610" s="4" t="s">
        <v>2491</v>
      </c>
    </row>
    <row r="2611" customFormat="false" ht="13.5" hidden="false" customHeight="true" outlineLevel="0" collapsed="false">
      <c r="A2611" s="17"/>
      <c r="B2611" s="18" t="s">
        <v>2492</v>
      </c>
    </row>
    <row r="2614" customFormat="false" ht="15" hidden="false" customHeight="false" outlineLevel="0" collapsed="false">
      <c r="A2614" s="15" t="s">
        <v>352</v>
      </c>
      <c r="B2614" s="15" t="s">
        <v>2493</v>
      </c>
    </row>
    <row r="2615" customFormat="false" ht="15" hidden="false" customHeight="false" outlineLevel="0" collapsed="false">
      <c r="B2615" s="16" t="str">
        <f aca="false">HYPERLINK("#Label!G118","← Back to label (row 118)")</f>
        <v>← Back to label (row 118)</v>
      </c>
    </row>
    <row r="2616" customFormat="false" ht="42" hidden="false" customHeight="true" outlineLevel="0" collapsed="false">
      <c r="A2616" s="17" t="s">
        <v>24</v>
      </c>
      <c r="B2616" s="18" t="s">
        <v>354</v>
      </c>
    </row>
    <row r="2617" customFormat="false" ht="13.5" hidden="false" customHeight="true" outlineLevel="0" collapsed="false">
      <c r="A2617" s="17" t="s">
        <v>450</v>
      </c>
      <c r="B2617" s="4" t="s">
        <v>2494</v>
      </c>
    </row>
    <row r="2618" customFormat="false" ht="13.5" hidden="false" customHeight="true" outlineLevel="0" collapsed="false">
      <c r="A2618" s="17" t="s">
        <v>452</v>
      </c>
      <c r="B2618" s="18" t="s">
        <v>2495</v>
      </c>
    </row>
    <row r="2619" customFormat="false" ht="237.75" hidden="false" customHeight="true" outlineLevel="0" collapsed="false">
      <c r="A2619" s="17" t="s">
        <v>454</v>
      </c>
      <c r="B2619" s="4" t="s">
        <v>2496</v>
      </c>
    </row>
    <row r="2620" customFormat="false" ht="13.5" hidden="false" customHeight="true" outlineLevel="0" collapsed="false">
      <c r="A2620" s="17" t="s">
        <v>456</v>
      </c>
      <c r="B2620" s="19" t="s">
        <v>457</v>
      </c>
    </row>
    <row r="2621" customFormat="false" ht="13.5" hidden="false" customHeight="true" outlineLevel="0" collapsed="false">
      <c r="A2621" s="17" t="s">
        <v>514</v>
      </c>
      <c r="B2621" s="4" t="s">
        <v>2497</v>
      </c>
    </row>
    <row r="2622" customFormat="false" ht="13.5" hidden="false" customHeight="true" outlineLevel="0" collapsed="false">
      <c r="A2622" s="17"/>
      <c r="B2622" s="18" t="s">
        <v>2498</v>
      </c>
    </row>
    <row r="2625" customFormat="false" ht="15" hidden="false" customHeight="false" outlineLevel="0" collapsed="false">
      <c r="A2625" s="15" t="s">
        <v>356</v>
      </c>
      <c r="B2625" s="15" t="s">
        <v>2499</v>
      </c>
    </row>
    <row r="2626" customFormat="false" ht="15" hidden="false" customHeight="false" outlineLevel="0" collapsed="false">
      <c r="B2626" s="16" t="str">
        <f aca="false">HYPERLINK("#Label!G119","← Back to label (row 119)")</f>
        <v>← Back to label (row 119)</v>
      </c>
    </row>
    <row r="2627" customFormat="false" ht="13.5" hidden="false" customHeight="true" outlineLevel="0" collapsed="false">
      <c r="A2627" s="17" t="s">
        <v>24</v>
      </c>
      <c r="B2627" s="18" t="s">
        <v>59</v>
      </c>
    </row>
    <row r="2628" customFormat="false" ht="13.5" hidden="false" customHeight="true" outlineLevel="0" collapsed="false">
      <c r="A2628" s="17" t="s">
        <v>450</v>
      </c>
      <c r="B2628" s="4" t="s">
        <v>2500</v>
      </c>
    </row>
    <row r="2629" customFormat="false" ht="13.5" hidden="false" customHeight="true" outlineLevel="0" collapsed="false">
      <c r="A2629" s="17" t="s">
        <v>452</v>
      </c>
      <c r="B2629" s="18" t="s">
        <v>2501</v>
      </c>
    </row>
    <row r="2630" customFormat="false" ht="42" hidden="false" customHeight="true" outlineLevel="0" collapsed="false">
      <c r="A2630" s="17" t="s">
        <v>454</v>
      </c>
      <c r="B2630" s="4" t="s">
        <v>2502</v>
      </c>
    </row>
    <row r="2631" customFormat="false" ht="13.5" hidden="false" customHeight="true" outlineLevel="0" collapsed="false">
      <c r="A2631" s="17" t="s">
        <v>456</v>
      </c>
      <c r="B2631" s="19" t="s">
        <v>457</v>
      </c>
    </row>
    <row r="2632" customFormat="false" ht="13.5" hidden="false" customHeight="true" outlineLevel="0" collapsed="false">
      <c r="A2632" s="17" t="s">
        <v>1536</v>
      </c>
      <c r="B2632" s="4" t="s">
        <v>2503</v>
      </c>
    </row>
    <row r="2633" customFormat="false" ht="13.5" hidden="false" customHeight="true" outlineLevel="0" collapsed="false">
      <c r="A2633" s="17"/>
      <c r="B2633" s="18" t="s">
        <v>2504</v>
      </c>
    </row>
    <row r="2634" customFormat="false" ht="13.5" hidden="false" customHeight="true" outlineLevel="0" collapsed="false">
      <c r="A2634" s="17"/>
      <c r="B2634" s="4" t="s">
        <v>2505</v>
      </c>
    </row>
    <row r="2635" customFormat="false" ht="13.5" hidden="false" customHeight="true" outlineLevel="0" collapsed="false">
      <c r="A2635" s="17"/>
      <c r="B2635" s="18" t="s">
        <v>2506</v>
      </c>
    </row>
    <row r="2636" customFormat="false" ht="27.75" hidden="false" customHeight="true" outlineLevel="0" collapsed="false">
      <c r="A2636" s="17"/>
      <c r="B2636" s="4" t="s">
        <v>2507</v>
      </c>
    </row>
    <row r="2637" customFormat="false" ht="13.5" hidden="false" customHeight="true" outlineLevel="0" collapsed="false">
      <c r="A2637" s="17"/>
      <c r="B2637" s="18" t="s">
        <v>2508</v>
      </c>
    </row>
    <row r="2638" customFormat="false" ht="13.5" hidden="false" customHeight="true" outlineLevel="0" collapsed="false">
      <c r="A2638" s="17"/>
      <c r="B2638" s="4" t="s">
        <v>2509</v>
      </c>
    </row>
    <row r="2639" customFormat="false" ht="13.5" hidden="false" customHeight="true" outlineLevel="0" collapsed="false">
      <c r="A2639" s="17"/>
      <c r="B2639" s="18" t="s">
        <v>2510</v>
      </c>
    </row>
    <row r="2640" customFormat="false" ht="13.5" hidden="false" customHeight="true" outlineLevel="0" collapsed="false">
      <c r="A2640" s="17"/>
      <c r="B2640" s="4" t="s">
        <v>2511</v>
      </c>
    </row>
    <row r="2641" customFormat="false" ht="13.5" hidden="false" customHeight="true" outlineLevel="0" collapsed="false">
      <c r="A2641" s="17"/>
      <c r="B2641" s="18" t="s">
        <v>2512</v>
      </c>
    </row>
    <row r="2642" customFormat="false" ht="27.75" hidden="false" customHeight="true" outlineLevel="0" collapsed="false">
      <c r="A2642" s="17"/>
      <c r="B2642" s="4" t="s">
        <v>2513</v>
      </c>
    </row>
    <row r="2643" customFormat="false" ht="27.75" hidden="false" customHeight="true" outlineLevel="0" collapsed="false">
      <c r="A2643" s="17"/>
      <c r="B2643" s="18" t="s">
        <v>2514</v>
      </c>
    </row>
    <row r="2644" customFormat="false" ht="13.5" hidden="false" customHeight="true" outlineLevel="0" collapsed="false">
      <c r="A2644" s="17"/>
      <c r="B2644" s="4" t="s">
        <v>2515</v>
      </c>
    </row>
    <row r="2645" customFormat="false" ht="13.5" hidden="false" customHeight="true" outlineLevel="0" collapsed="false">
      <c r="A2645" s="17"/>
      <c r="B2645" s="18" t="s">
        <v>2516</v>
      </c>
    </row>
    <row r="2646" customFormat="false" ht="13.5" hidden="false" customHeight="true" outlineLevel="0" collapsed="false">
      <c r="A2646" s="17"/>
      <c r="B2646" s="4" t="s">
        <v>2517</v>
      </c>
    </row>
    <row r="2647" customFormat="false" ht="13.5" hidden="false" customHeight="true" outlineLevel="0" collapsed="false">
      <c r="A2647" s="17"/>
      <c r="B2647" s="18" t="s">
        <v>2518</v>
      </c>
    </row>
    <row r="2650" customFormat="false" ht="15" hidden="false" customHeight="false" outlineLevel="0" collapsed="false">
      <c r="A2650" s="15" t="s">
        <v>358</v>
      </c>
      <c r="B2650" s="15" t="s">
        <v>2519</v>
      </c>
    </row>
    <row r="2651" customFormat="false" ht="15" hidden="false" customHeight="false" outlineLevel="0" collapsed="false">
      <c r="B2651" s="16" t="str">
        <f aca="false">HYPERLINK("#Label!G120","← Back to label (row 120)")</f>
        <v>← Back to label (row 120)</v>
      </c>
    </row>
    <row r="2652" customFormat="false" ht="13.5" hidden="false" customHeight="true" outlineLevel="0" collapsed="false">
      <c r="A2652" s="17" t="s">
        <v>24</v>
      </c>
      <c r="B2652" s="18" t="s">
        <v>75</v>
      </c>
    </row>
    <row r="2653" customFormat="false" ht="13.5" hidden="false" customHeight="true" outlineLevel="0" collapsed="false">
      <c r="A2653" s="17" t="s">
        <v>450</v>
      </c>
      <c r="B2653" s="4" t="s">
        <v>2520</v>
      </c>
    </row>
    <row r="2654" customFormat="false" ht="13.5" hidden="false" customHeight="true" outlineLevel="0" collapsed="false">
      <c r="A2654" s="17" t="s">
        <v>452</v>
      </c>
      <c r="B2654" s="18" t="s">
        <v>2521</v>
      </c>
    </row>
    <row r="2655" customFormat="false" ht="13.5" hidden="false" customHeight="true" outlineLevel="0" collapsed="false">
      <c r="A2655" s="17" t="s">
        <v>454</v>
      </c>
      <c r="B2655" s="20" t="s">
        <v>486</v>
      </c>
    </row>
    <row r="2656" customFormat="false" ht="13.5" hidden="false" customHeight="true" outlineLevel="0" collapsed="false">
      <c r="A2656" s="17" t="s">
        <v>456</v>
      </c>
      <c r="B2656" s="19" t="s">
        <v>457</v>
      </c>
    </row>
    <row r="2657" customFormat="false" ht="27.75" hidden="false" customHeight="true" outlineLevel="0" collapsed="false">
      <c r="A2657" s="17" t="s">
        <v>564</v>
      </c>
      <c r="B2657" s="4" t="s">
        <v>2522</v>
      </c>
    </row>
    <row r="2658" customFormat="false" ht="27.75" hidden="false" customHeight="true" outlineLevel="0" collapsed="false">
      <c r="A2658" s="17"/>
      <c r="B2658" s="18" t="s">
        <v>2523</v>
      </c>
    </row>
    <row r="2659" customFormat="false" ht="13.5" hidden="false" customHeight="true" outlineLevel="0" collapsed="false">
      <c r="A2659" s="17"/>
      <c r="B2659" s="4" t="s">
        <v>2524</v>
      </c>
    </row>
    <row r="2660" customFormat="false" ht="13.5" hidden="false" customHeight="true" outlineLevel="0" collapsed="false">
      <c r="A2660" s="17"/>
      <c r="B2660" s="18" t="s">
        <v>2525</v>
      </c>
    </row>
    <row r="2661" customFormat="false" ht="13.5" hidden="false" customHeight="true" outlineLevel="0" collapsed="false">
      <c r="A2661" s="17"/>
      <c r="B2661" s="4" t="s">
        <v>2526</v>
      </c>
    </row>
    <row r="2662" customFormat="false" ht="13.5" hidden="false" customHeight="true" outlineLevel="0" collapsed="false">
      <c r="A2662" s="17"/>
      <c r="B2662" s="18" t="s">
        <v>2527</v>
      </c>
    </row>
    <row r="2665" customFormat="false" ht="15" hidden="false" customHeight="false" outlineLevel="0" collapsed="false">
      <c r="A2665" s="15" t="s">
        <v>360</v>
      </c>
      <c r="B2665" s="15" t="s">
        <v>2528</v>
      </c>
    </row>
    <row r="2666" customFormat="false" ht="15" hidden="false" customHeight="false" outlineLevel="0" collapsed="false">
      <c r="B2666" s="16" t="str">
        <f aca="false">HYPERLINK("#Label!G121","← Back to label (row 121)")</f>
        <v>← Back to label (row 121)</v>
      </c>
    </row>
    <row r="2667" customFormat="false" ht="13.5" hidden="false" customHeight="true" outlineLevel="0" collapsed="false">
      <c r="A2667" s="17" t="s">
        <v>24</v>
      </c>
      <c r="B2667" s="18" t="s">
        <v>59</v>
      </c>
    </row>
    <row r="2668" customFormat="false" ht="13.5" hidden="false" customHeight="true" outlineLevel="0" collapsed="false">
      <c r="A2668" s="17" t="s">
        <v>450</v>
      </c>
      <c r="B2668" s="4" t="s">
        <v>2529</v>
      </c>
    </row>
    <row r="2669" customFormat="false" ht="13.5" hidden="false" customHeight="true" outlineLevel="0" collapsed="false">
      <c r="A2669" s="17" t="s">
        <v>452</v>
      </c>
      <c r="B2669" s="18" t="s">
        <v>2530</v>
      </c>
    </row>
    <row r="2670" customFormat="false" ht="69.75" hidden="false" customHeight="true" outlineLevel="0" collapsed="false">
      <c r="A2670" s="17" t="s">
        <v>454</v>
      </c>
      <c r="B2670" s="4" t="s">
        <v>2531</v>
      </c>
    </row>
    <row r="2671" customFormat="false" ht="13.5" hidden="false" customHeight="true" outlineLevel="0" collapsed="false">
      <c r="A2671" s="17" t="s">
        <v>456</v>
      </c>
      <c r="B2671" s="19" t="s">
        <v>457</v>
      </c>
    </row>
    <row r="2672" customFormat="false" ht="13.5" hidden="false" customHeight="true" outlineLevel="0" collapsed="false">
      <c r="A2672" s="17" t="s">
        <v>1160</v>
      </c>
      <c r="B2672" s="4" t="s">
        <v>2532</v>
      </c>
    </row>
    <row r="2673" customFormat="false" ht="13.5" hidden="false" customHeight="true" outlineLevel="0" collapsed="false">
      <c r="A2673" s="17"/>
      <c r="B2673" s="18" t="s">
        <v>2533</v>
      </c>
    </row>
    <row r="2674" customFormat="false" ht="13.5" hidden="false" customHeight="true" outlineLevel="0" collapsed="false">
      <c r="A2674" s="17"/>
      <c r="B2674" s="4" t="s">
        <v>2534</v>
      </c>
    </row>
    <row r="2675" customFormat="false" ht="13.5" hidden="false" customHeight="true" outlineLevel="0" collapsed="false">
      <c r="A2675" s="17"/>
      <c r="B2675" s="18" t="s">
        <v>2535</v>
      </c>
    </row>
    <row r="2676" customFormat="false" ht="13.5" hidden="false" customHeight="true" outlineLevel="0" collapsed="false">
      <c r="A2676" s="17"/>
      <c r="B2676" s="4" t="s">
        <v>2536</v>
      </c>
    </row>
    <row r="2677" customFormat="false" ht="27.75" hidden="false" customHeight="true" outlineLevel="0" collapsed="false">
      <c r="A2677" s="17"/>
      <c r="B2677" s="18" t="s">
        <v>2537</v>
      </c>
    </row>
    <row r="2678" customFormat="false" ht="13.5" hidden="false" customHeight="true" outlineLevel="0" collapsed="false">
      <c r="A2678" s="17"/>
      <c r="B2678" s="4" t="s">
        <v>2538</v>
      </c>
    </row>
    <row r="2679" customFormat="false" ht="13.5" hidden="false" customHeight="true" outlineLevel="0" collapsed="false">
      <c r="A2679" s="17"/>
      <c r="B2679" s="18" t="s">
        <v>2539</v>
      </c>
    </row>
    <row r="2680" customFormat="false" ht="13.5" hidden="false" customHeight="true" outlineLevel="0" collapsed="false">
      <c r="A2680" s="17"/>
      <c r="B2680" s="4" t="s">
        <v>2540</v>
      </c>
    </row>
    <row r="2681" customFormat="false" ht="13.5" hidden="false" customHeight="true" outlineLevel="0" collapsed="false">
      <c r="A2681" s="17"/>
      <c r="B2681" s="18" t="s">
        <v>2541</v>
      </c>
    </row>
    <row r="2682" customFormat="false" ht="13.5" hidden="false" customHeight="true" outlineLevel="0" collapsed="false">
      <c r="A2682" s="17"/>
      <c r="B2682" s="4" t="s">
        <v>2542</v>
      </c>
    </row>
    <row r="2683" customFormat="false" ht="13.5" hidden="false" customHeight="true" outlineLevel="0" collapsed="false">
      <c r="A2683" s="17"/>
      <c r="B2683" s="18" t="s">
        <v>2543</v>
      </c>
    </row>
    <row r="2684" customFormat="false" ht="13.5" hidden="false" customHeight="true" outlineLevel="0" collapsed="false">
      <c r="A2684" s="17"/>
      <c r="B2684" s="4" t="s">
        <v>2544</v>
      </c>
    </row>
    <row r="2685" customFormat="false" ht="13.5" hidden="false" customHeight="true" outlineLevel="0" collapsed="false">
      <c r="A2685" s="17"/>
      <c r="B2685" s="18" t="s">
        <v>2545</v>
      </c>
    </row>
    <row r="2686" customFormat="false" ht="13.5" hidden="false" customHeight="true" outlineLevel="0" collapsed="false">
      <c r="A2686" s="17"/>
      <c r="B2686" s="4" t="s">
        <v>2546</v>
      </c>
    </row>
    <row r="2687" customFormat="false" ht="27.75" hidden="false" customHeight="true" outlineLevel="0" collapsed="false">
      <c r="A2687" s="17"/>
      <c r="B2687" s="18" t="s">
        <v>2547</v>
      </c>
    </row>
    <row r="2688" customFormat="false" ht="27.75" hidden="false" customHeight="true" outlineLevel="0" collapsed="false">
      <c r="A2688" s="17"/>
      <c r="B2688" s="4" t="s">
        <v>2548</v>
      </c>
    </row>
    <row r="2689" customFormat="false" ht="13.5" hidden="false" customHeight="true" outlineLevel="0" collapsed="false">
      <c r="A2689" s="17"/>
      <c r="B2689" s="18" t="s">
        <v>2549</v>
      </c>
    </row>
    <row r="2690" customFormat="false" ht="13.5" hidden="false" customHeight="true" outlineLevel="0" collapsed="false">
      <c r="A2690" s="17"/>
      <c r="B2690" s="4" t="s">
        <v>2550</v>
      </c>
    </row>
    <row r="2693" customFormat="false" ht="15" hidden="false" customHeight="false" outlineLevel="0" collapsed="false">
      <c r="A2693" s="15" t="s">
        <v>363</v>
      </c>
      <c r="B2693" s="15" t="s">
        <v>364</v>
      </c>
    </row>
    <row r="2694" customFormat="false" ht="15" hidden="false" customHeight="false" outlineLevel="0" collapsed="false">
      <c r="B2694" s="16" t="str">
        <f aca="false">HYPERLINK("#Label!G122","← Back to label (row 122)")</f>
        <v>← Back to label (row 122)</v>
      </c>
    </row>
    <row r="2695" customFormat="false" ht="13.5" hidden="false" customHeight="true" outlineLevel="0" collapsed="false">
      <c r="A2695" s="17" t="s">
        <v>24</v>
      </c>
      <c r="B2695" s="18" t="s">
        <v>365</v>
      </c>
    </row>
    <row r="2696" customFormat="false" ht="13.5" hidden="false" customHeight="true" outlineLevel="0" collapsed="false">
      <c r="A2696" s="17" t="s">
        <v>450</v>
      </c>
      <c r="B2696" s="4" t="s">
        <v>2551</v>
      </c>
    </row>
    <row r="2697" customFormat="false" ht="13.5" hidden="false" customHeight="true" outlineLevel="0" collapsed="false">
      <c r="A2697" s="17" t="s">
        <v>454</v>
      </c>
      <c r="B2697" s="19" t="s">
        <v>486</v>
      </c>
    </row>
    <row r="2698" customFormat="false" ht="13.5" hidden="false" customHeight="true" outlineLevel="0" collapsed="false">
      <c r="A2698" s="17" t="s">
        <v>456</v>
      </c>
      <c r="B2698" s="20" t="s">
        <v>457</v>
      </c>
    </row>
    <row r="2699" customFormat="false" ht="13.5" hidden="false" customHeight="true" outlineLevel="0" collapsed="false">
      <c r="A2699" s="17" t="s">
        <v>519</v>
      </c>
      <c r="B2699" s="18" t="s">
        <v>2552</v>
      </c>
    </row>
    <row r="2702" customFormat="false" ht="15" hidden="false" customHeight="false" outlineLevel="0" collapsed="false">
      <c r="A2702" s="15" t="s">
        <v>366</v>
      </c>
      <c r="B2702" s="15" t="s">
        <v>2553</v>
      </c>
    </row>
    <row r="2703" customFormat="false" ht="15" hidden="false" customHeight="false" outlineLevel="0" collapsed="false">
      <c r="B2703" s="16" t="str">
        <f aca="false">HYPERLINK("#Label!G123","← Back to label (row 123)")</f>
        <v>← Back to label (row 123)</v>
      </c>
    </row>
    <row r="2704" customFormat="false" ht="27.75" hidden="false" customHeight="true" outlineLevel="0" collapsed="false">
      <c r="A2704" s="17" t="s">
        <v>24</v>
      </c>
      <c r="B2704" s="18" t="s">
        <v>94</v>
      </c>
    </row>
    <row r="2705" customFormat="false" ht="13.5" hidden="false" customHeight="true" outlineLevel="0" collapsed="false">
      <c r="A2705" s="17" t="s">
        <v>450</v>
      </c>
      <c r="B2705" s="4" t="s">
        <v>2554</v>
      </c>
    </row>
    <row r="2706" customFormat="false" ht="13.5" hidden="false" customHeight="true" outlineLevel="0" collapsed="false">
      <c r="A2706" s="17" t="s">
        <v>452</v>
      </c>
      <c r="B2706" s="18" t="s">
        <v>2555</v>
      </c>
    </row>
    <row r="2707" customFormat="false" ht="153.75" hidden="false" customHeight="true" outlineLevel="0" collapsed="false">
      <c r="A2707" s="17" t="s">
        <v>454</v>
      </c>
      <c r="B2707" s="4" t="s">
        <v>2556</v>
      </c>
    </row>
    <row r="2708" customFormat="false" ht="13.5" hidden="false" customHeight="true" outlineLevel="0" collapsed="false">
      <c r="A2708" s="17" t="s">
        <v>456</v>
      </c>
      <c r="B2708" s="19" t="s">
        <v>457</v>
      </c>
    </row>
    <row r="2709" customFormat="false" ht="27.75" hidden="false" customHeight="true" outlineLevel="0" collapsed="false">
      <c r="A2709" s="17" t="s">
        <v>519</v>
      </c>
      <c r="B2709" s="4" t="s">
        <v>2557</v>
      </c>
    </row>
    <row r="2712" customFormat="false" ht="15" hidden="false" customHeight="false" outlineLevel="0" collapsed="false">
      <c r="A2712" s="15" t="s">
        <v>369</v>
      </c>
      <c r="B2712" s="15" t="s">
        <v>2558</v>
      </c>
    </row>
    <row r="2713" customFormat="false" ht="15" hidden="false" customHeight="false" outlineLevel="0" collapsed="false">
      <c r="B2713" s="16" t="str">
        <f aca="false">HYPERLINK("#Label!G124","← Back to label (row 124)")</f>
        <v>← Back to label (row 124)</v>
      </c>
    </row>
    <row r="2714" customFormat="false" ht="13.5" hidden="false" customHeight="true" outlineLevel="0" collapsed="false">
      <c r="A2714" s="17" t="s">
        <v>24</v>
      </c>
      <c r="B2714" s="18" t="s">
        <v>59</v>
      </c>
    </row>
    <row r="2715" customFormat="false" ht="13.5" hidden="false" customHeight="true" outlineLevel="0" collapsed="false">
      <c r="A2715" s="17" t="s">
        <v>450</v>
      </c>
      <c r="B2715" s="4" t="s">
        <v>2559</v>
      </c>
    </row>
    <row r="2716" customFormat="false" ht="13.5" hidden="false" customHeight="true" outlineLevel="0" collapsed="false">
      <c r="A2716" s="17" t="s">
        <v>454</v>
      </c>
      <c r="B2716" s="19" t="s">
        <v>486</v>
      </c>
    </row>
    <row r="2717" customFormat="false" ht="13.5" hidden="false" customHeight="true" outlineLevel="0" collapsed="false">
      <c r="A2717" s="17" t="s">
        <v>456</v>
      </c>
      <c r="B2717" s="20" t="s">
        <v>457</v>
      </c>
    </row>
    <row r="2718" customFormat="false" ht="13.5" hidden="false" customHeight="true" outlineLevel="0" collapsed="false">
      <c r="A2718" s="17" t="s">
        <v>1066</v>
      </c>
      <c r="B2718" s="18" t="s">
        <v>2560</v>
      </c>
    </row>
    <row r="2719" customFormat="false" ht="13.5" hidden="false" customHeight="true" outlineLevel="0" collapsed="false">
      <c r="A2719" s="17"/>
      <c r="B2719" s="4" t="s">
        <v>2561</v>
      </c>
    </row>
    <row r="2720" customFormat="false" ht="27.75" hidden="false" customHeight="true" outlineLevel="0" collapsed="false">
      <c r="A2720" s="17"/>
      <c r="B2720" s="18" t="s">
        <v>2562</v>
      </c>
    </row>
    <row r="2721" customFormat="false" ht="13.5" hidden="false" customHeight="true" outlineLevel="0" collapsed="false">
      <c r="A2721" s="17"/>
      <c r="B2721" s="4" t="s">
        <v>2563</v>
      </c>
    </row>
    <row r="2722" customFormat="false" ht="27.75" hidden="false" customHeight="true" outlineLevel="0" collapsed="false">
      <c r="A2722" s="17"/>
      <c r="B2722" s="18" t="s">
        <v>2564</v>
      </c>
    </row>
    <row r="2723" customFormat="false" ht="27.75" hidden="false" customHeight="true" outlineLevel="0" collapsed="false">
      <c r="A2723" s="17"/>
      <c r="B2723" s="4" t="s">
        <v>2565</v>
      </c>
    </row>
    <row r="2724" customFormat="false" ht="13.5" hidden="false" customHeight="true" outlineLevel="0" collapsed="false">
      <c r="A2724" s="17"/>
      <c r="B2724" s="18" t="s">
        <v>2566</v>
      </c>
    </row>
    <row r="2725" customFormat="false" ht="27.75" hidden="false" customHeight="true" outlineLevel="0" collapsed="false">
      <c r="A2725" s="17"/>
      <c r="B2725" s="4" t="s">
        <v>2567</v>
      </c>
    </row>
    <row r="2726" customFormat="false" ht="27.75" hidden="false" customHeight="true" outlineLevel="0" collapsed="false">
      <c r="A2726" s="17"/>
      <c r="B2726" s="18" t="s">
        <v>2568</v>
      </c>
    </row>
    <row r="2727" customFormat="false" ht="27.75" hidden="false" customHeight="true" outlineLevel="0" collapsed="false">
      <c r="A2727" s="17"/>
      <c r="B2727" s="4" t="s">
        <v>2569</v>
      </c>
    </row>
    <row r="2728" customFormat="false" ht="13.5" hidden="false" customHeight="true" outlineLevel="0" collapsed="false">
      <c r="A2728" s="17"/>
      <c r="B2728" s="18" t="s">
        <v>2570</v>
      </c>
    </row>
    <row r="2729" customFormat="false" ht="27.75" hidden="false" customHeight="true" outlineLevel="0" collapsed="false">
      <c r="A2729" s="17"/>
      <c r="B2729" s="4" t="s">
        <v>2571</v>
      </c>
    </row>
    <row r="2730" customFormat="false" ht="13.5" hidden="false" customHeight="true" outlineLevel="0" collapsed="false">
      <c r="A2730" s="17"/>
      <c r="B2730" s="18" t="s">
        <v>2572</v>
      </c>
    </row>
    <row r="2731" customFormat="false" ht="13.5" hidden="false" customHeight="true" outlineLevel="0" collapsed="false">
      <c r="A2731" s="17"/>
      <c r="B2731" s="4" t="s">
        <v>2573</v>
      </c>
    </row>
    <row r="2732" customFormat="false" ht="27.75" hidden="false" customHeight="true" outlineLevel="0" collapsed="false">
      <c r="A2732" s="17"/>
      <c r="B2732" s="18" t="s">
        <v>2574</v>
      </c>
    </row>
    <row r="2733" customFormat="false" ht="27.75" hidden="false" customHeight="true" outlineLevel="0" collapsed="false">
      <c r="A2733" s="17"/>
      <c r="B2733" s="4" t="s">
        <v>2575</v>
      </c>
    </row>
    <row r="2734" customFormat="false" ht="13.5" hidden="false" customHeight="true" outlineLevel="0" collapsed="false">
      <c r="A2734" s="17"/>
      <c r="B2734" s="18" t="s">
        <v>2576</v>
      </c>
    </row>
    <row r="2735" customFormat="false" ht="13.5" hidden="false" customHeight="true" outlineLevel="0" collapsed="false">
      <c r="A2735" s="17"/>
      <c r="B2735" s="4" t="s">
        <v>2577</v>
      </c>
    </row>
    <row r="2738" customFormat="false" ht="15" hidden="false" customHeight="false" outlineLevel="0" collapsed="false">
      <c r="A2738" s="15" t="s">
        <v>371</v>
      </c>
      <c r="B2738" s="15" t="s">
        <v>2578</v>
      </c>
    </row>
    <row r="2739" customFormat="false" ht="15" hidden="false" customHeight="false" outlineLevel="0" collapsed="false">
      <c r="B2739" s="16" t="str">
        <f aca="false">HYPERLINK("#Label!G125","← Back to label (row 125)")</f>
        <v>← Back to label (row 125)</v>
      </c>
    </row>
    <row r="2740" customFormat="false" ht="27.75" hidden="false" customHeight="true" outlineLevel="0" collapsed="false">
      <c r="A2740" s="17" t="s">
        <v>24</v>
      </c>
      <c r="B2740" s="18" t="s">
        <v>270</v>
      </c>
    </row>
    <row r="2741" customFormat="false" ht="13.5" hidden="false" customHeight="true" outlineLevel="0" collapsed="false">
      <c r="A2741" s="17" t="s">
        <v>450</v>
      </c>
      <c r="B2741" s="4" t="s">
        <v>2579</v>
      </c>
    </row>
    <row r="2742" customFormat="false" ht="13.5" hidden="false" customHeight="true" outlineLevel="0" collapsed="false">
      <c r="A2742" s="17" t="s">
        <v>452</v>
      </c>
      <c r="B2742" s="18" t="s">
        <v>2580</v>
      </c>
    </row>
    <row r="2743" customFormat="false" ht="69.75" hidden="false" customHeight="true" outlineLevel="0" collapsed="false">
      <c r="A2743" s="17" t="s">
        <v>454</v>
      </c>
      <c r="B2743" s="4" t="s">
        <v>2581</v>
      </c>
    </row>
    <row r="2744" customFormat="false" ht="13.5" hidden="false" customHeight="true" outlineLevel="0" collapsed="false">
      <c r="A2744" s="17" t="s">
        <v>456</v>
      </c>
      <c r="B2744" s="19" t="s">
        <v>457</v>
      </c>
    </row>
    <row r="2745" customFormat="false" ht="13.5" hidden="false" customHeight="true" outlineLevel="0" collapsed="false">
      <c r="A2745" s="17" t="s">
        <v>500</v>
      </c>
      <c r="B2745" s="4" t="s">
        <v>2582</v>
      </c>
    </row>
    <row r="2746" customFormat="false" ht="13.5" hidden="false" customHeight="true" outlineLevel="0" collapsed="false">
      <c r="A2746" s="17"/>
      <c r="B2746" s="18" t="s">
        <v>2583</v>
      </c>
    </row>
    <row r="2747" customFormat="false" ht="13.5" hidden="false" customHeight="true" outlineLevel="0" collapsed="false">
      <c r="A2747" s="17"/>
      <c r="B2747" s="4" t="s">
        <v>1711</v>
      </c>
    </row>
    <row r="2750" customFormat="false" ht="15" hidden="false" customHeight="false" outlineLevel="0" collapsed="false">
      <c r="A2750" s="15" t="s">
        <v>373</v>
      </c>
      <c r="B2750" s="15" t="s">
        <v>2584</v>
      </c>
    </row>
    <row r="2751" customFormat="false" ht="15" hidden="false" customHeight="false" outlineLevel="0" collapsed="false">
      <c r="B2751" s="16" t="str">
        <f aca="false">HYPERLINK("#Label!G126","← Back to label (row 126)")</f>
        <v>← Back to label (row 126)</v>
      </c>
    </row>
    <row r="2752" customFormat="false" ht="13.5" hidden="false" customHeight="true" outlineLevel="0" collapsed="false">
      <c r="A2752" s="17" t="s">
        <v>24</v>
      </c>
      <c r="B2752" s="18" t="s">
        <v>153</v>
      </c>
    </row>
    <row r="2753" customFormat="false" ht="13.5" hidden="false" customHeight="true" outlineLevel="0" collapsed="false">
      <c r="A2753" s="17" t="s">
        <v>450</v>
      </c>
      <c r="B2753" s="4" t="s">
        <v>2585</v>
      </c>
    </row>
    <row r="2754" customFormat="false" ht="13.5" hidden="false" customHeight="true" outlineLevel="0" collapsed="false">
      <c r="A2754" s="17" t="s">
        <v>452</v>
      </c>
      <c r="B2754" s="18" t="s">
        <v>2586</v>
      </c>
    </row>
    <row r="2755" customFormat="false" ht="27.75" hidden="false" customHeight="true" outlineLevel="0" collapsed="false">
      <c r="A2755" s="17" t="s">
        <v>454</v>
      </c>
      <c r="B2755" s="4" t="s">
        <v>2587</v>
      </c>
    </row>
    <row r="2756" customFormat="false" ht="13.5" hidden="false" customHeight="true" outlineLevel="0" collapsed="false">
      <c r="A2756" s="17" t="s">
        <v>456</v>
      </c>
      <c r="B2756" s="19" t="s">
        <v>457</v>
      </c>
    </row>
    <row r="2757" customFormat="false" ht="13.5" hidden="false" customHeight="true" outlineLevel="0" collapsed="false">
      <c r="A2757" s="17" t="s">
        <v>2588</v>
      </c>
      <c r="B2757" s="4" t="s">
        <v>2589</v>
      </c>
    </row>
    <row r="2758" customFormat="false" ht="13.5" hidden="false" customHeight="true" outlineLevel="0" collapsed="false">
      <c r="A2758" s="17"/>
      <c r="B2758" s="18" t="s">
        <v>2590</v>
      </c>
    </row>
    <row r="2759" customFormat="false" ht="13.5" hidden="false" customHeight="true" outlineLevel="0" collapsed="false">
      <c r="A2759" s="17"/>
      <c r="B2759" s="4" t="s">
        <v>2591</v>
      </c>
    </row>
    <row r="2760" customFormat="false" ht="13.5" hidden="false" customHeight="true" outlineLevel="0" collapsed="false">
      <c r="A2760" s="17"/>
      <c r="B2760" s="18" t="s">
        <v>2592</v>
      </c>
    </row>
    <row r="2761" customFormat="false" ht="13.5" hidden="false" customHeight="true" outlineLevel="0" collapsed="false">
      <c r="A2761" s="17"/>
      <c r="B2761" s="4" t="s">
        <v>2593</v>
      </c>
    </row>
    <row r="2762" customFormat="false" ht="13.5" hidden="false" customHeight="true" outlineLevel="0" collapsed="false">
      <c r="A2762" s="17"/>
      <c r="B2762" s="18" t="s">
        <v>2594</v>
      </c>
    </row>
    <row r="2763" customFormat="false" ht="13.5" hidden="false" customHeight="true" outlineLevel="0" collapsed="false">
      <c r="A2763" s="17"/>
      <c r="B2763" s="4" t="s">
        <v>2595</v>
      </c>
    </row>
    <row r="2764" customFormat="false" ht="13.5" hidden="false" customHeight="true" outlineLevel="0" collapsed="false">
      <c r="A2764" s="17"/>
      <c r="B2764" s="18" t="s">
        <v>2596</v>
      </c>
    </row>
    <row r="2765" customFormat="false" ht="13.5" hidden="false" customHeight="true" outlineLevel="0" collapsed="false">
      <c r="A2765" s="17"/>
      <c r="B2765" s="4" t="s">
        <v>2597</v>
      </c>
    </row>
    <row r="2766" customFormat="false" ht="13.5" hidden="false" customHeight="true" outlineLevel="0" collapsed="false">
      <c r="A2766" s="17"/>
      <c r="B2766" s="18" t="s">
        <v>2598</v>
      </c>
    </row>
    <row r="2767" customFormat="false" ht="13.5" hidden="false" customHeight="true" outlineLevel="0" collapsed="false">
      <c r="A2767" s="17"/>
      <c r="B2767" s="4" t="s">
        <v>2599</v>
      </c>
    </row>
    <row r="2768" customFormat="false" ht="13.5" hidden="false" customHeight="true" outlineLevel="0" collapsed="false">
      <c r="A2768" s="17"/>
      <c r="B2768" s="18" t="s">
        <v>2600</v>
      </c>
    </row>
    <row r="2769" customFormat="false" ht="13.5" hidden="false" customHeight="true" outlineLevel="0" collapsed="false">
      <c r="A2769" s="17"/>
      <c r="B2769" s="4" t="s">
        <v>2601</v>
      </c>
    </row>
    <row r="2770" customFormat="false" ht="13.5" hidden="false" customHeight="true" outlineLevel="0" collapsed="false">
      <c r="A2770" s="17"/>
      <c r="B2770" s="18" t="s">
        <v>2602</v>
      </c>
    </row>
    <row r="2771" customFormat="false" ht="13.5" hidden="false" customHeight="true" outlineLevel="0" collapsed="false">
      <c r="A2771" s="17"/>
      <c r="B2771" s="4" t="s">
        <v>2603</v>
      </c>
    </row>
    <row r="2772" customFormat="false" ht="13.5" hidden="false" customHeight="true" outlineLevel="0" collapsed="false">
      <c r="A2772" s="17"/>
      <c r="B2772" s="18" t="s">
        <v>2604</v>
      </c>
    </row>
    <row r="2773" customFormat="false" ht="42" hidden="false" customHeight="true" outlineLevel="0" collapsed="false">
      <c r="A2773" s="17"/>
      <c r="B2773" s="4" t="s">
        <v>2605</v>
      </c>
    </row>
    <row r="2774" customFormat="false" ht="27.75" hidden="false" customHeight="true" outlineLevel="0" collapsed="false">
      <c r="A2774" s="17"/>
      <c r="B2774" s="18" t="s">
        <v>2606</v>
      </c>
    </row>
    <row r="2775" customFormat="false" ht="13.5" hidden="false" customHeight="true" outlineLevel="0" collapsed="false">
      <c r="A2775" s="17"/>
      <c r="B2775" s="4" t="s">
        <v>2607</v>
      </c>
    </row>
    <row r="2776" customFormat="false" ht="13.5" hidden="false" customHeight="true" outlineLevel="0" collapsed="false">
      <c r="A2776" s="17"/>
      <c r="B2776" s="18" t="s">
        <v>2608</v>
      </c>
    </row>
    <row r="2777" customFormat="false" ht="13.5" hidden="false" customHeight="true" outlineLevel="0" collapsed="false">
      <c r="A2777" s="17"/>
      <c r="B2777" s="4" t="s">
        <v>2609</v>
      </c>
    </row>
    <row r="2778" customFormat="false" ht="13.5" hidden="false" customHeight="true" outlineLevel="0" collapsed="false">
      <c r="A2778" s="17"/>
      <c r="B2778" s="18" t="s">
        <v>2610</v>
      </c>
    </row>
    <row r="2779" customFormat="false" ht="13.5" hidden="false" customHeight="true" outlineLevel="0" collapsed="false">
      <c r="A2779" s="17"/>
      <c r="B2779" s="4" t="s">
        <v>2611</v>
      </c>
    </row>
    <row r="2780" customFormat="false" ht="13.5" hidden="false" customHeight="true" outlineLevel="0" collapsed="false">
      <c r="A2780" s="17"/>
      <c r="B2780" s="18" t="s">
        <v>2612</v>
      </c>
    </row>
    <row r="2781" customFormat="false" ht="13.5" hidden="false" customHeight="true" outlineLevel="0" collapsed="false">
      <c r="A2781" s="17"/>
      <c r="B2781" s="4" t="s">
        <v>2613</v>
      </c>
    </row>
    <row r="2782" customFormat="false" ht="27.75" hidden="false" customHeight="true" outlineLevel="0" collapsed="false">
      <c r="A2782" s="17"/>
      <c r="B2782" s="18" t="s">
        <v>2614</v>
      </c>
    </row>
    <row r="2783" customFormat="false" ht="13.5" hidden="false" customHeight="true" outlineLevel="0" collapsed="false">
      <c r="A2783" s="17"/>
      <c r="B2783" s="4" t="s">
        <v>2615</v>
      </c>
    </row>
    <row r="2784" customFormat="false" ht="13.5" hidden="false" customHeight="true" outlineLevel="0" collapsed="false">
      <c r="A2784" s="17"/>
      <c r="B2784" s="18" t="s">
        <v>2616</v>
      </c>
    </row>
    <row r="2785" customFormat="false" ht="27.75" hidden="false" customHeight="true" outlineLevel="0" collapsed="false">
      <c r="A2785" s="17"/>
      <c r="B2785" s="4" t="s">
        <v>2617</v>
      </c>
    </row>
    <row r="2786" customFormat="false" ht="13.5" hidden="false" customHeight="true" outlineLevel="0" collapsed="false">
      <c r="A2786" s="17"/>
      <c r="B2786" s="18" t="s">
        <v>2618</v>
      </c>
    </row>
    <row r="2787" customFormat="false" ht="13.5" hidden="false" customHeight="true" outlineLevel="0" collapsed="false">
      <c r="A2787" s="17"/>
      <c r="B2787" s="4" t="s">
        <v>2619</v>
      </c>
    </row>
    <row r="2788" customFormat="false" ht="27.75" hidden="false" customHeight="true" outlineLevel="0" collapsed="false">
      <c r="A2788" s="17"/>
      <c r="B2788" s="18" t="s">
        <v>2620</v>
      </c>
    </row>
    <row r="2789" customFormat="false" ht="13.5" hidden="false" customHeight="true" outlineLevel="0" collapsed="false">
      <c r="A2789" s="17"/>
      <c r="B2789" s="4" t="s">
        <v>2621</v>
      </c>
    </row>
    <row r="2790" customFormat="false" ht="27.75" hidden="false" customHeight="true" outlineLevel="0" collapsed="false">
      <c r="A2790" s="17"/>
      <c r="B2790" s="18" t="s">
        <v>2622</v>
      </c>
    </row>
    <row r="2791" customFormat="false" ht="13.5" hidden="false" customHeight="true" outlineLevel="0" collapsed="false">
      <c r="A2791" s="17"/>
      <c r="B2791" s="4" t="s">
        <v>2623</v>
      </c>
    </row>
    <row r="2792" customFormat="false" ht="13.5" hidden="false" customHeight="true" outlineLevel="0" collapsed="false">
      <c r="A2792" s="17"/>
      <c r="B2792" s="18" t="s">
        <v>2624</v>
      </c>
    </row>
    <row r="2793" customFormat="false" ht="13.5" hidden="false" customHeight="true" outlineLevel="0" collapsed="false">
      <c r="A2793" s="17"/>
      <c r="B2793" s="4" t="s">
        <v>2625</v>
      </c>
    </row>
    <row r="2794" customFormat="false" ht="13.5" hidden="false" customHeight="true" outlineLevel="0" collapsed="false">
      <c r="A2794" s="17"/>
      <c r="B2794" s="18" t="s">
        <v>2626</v>
      </c>
    </row>
    <row r="2795" customFormat="false" ht="13.5" hidden="false" customHeight="true" outlineLevel="0" collapsed="false">
      <c r="A2795" s="17"/>
      <c r="B2795" s="4" t="s">
        <v>2627</v>
      </c>
    </row>
    <row r="2798" customFormat="false" ht="15" hidden="false" customHeight="false" outlineLevel="0" collapsed="false">
      <c r="A2798" s="15" t="s">
        <v>375</v>
      </c>
      <c r="B2798" s="15" t="s">
        <v>2628</v>
      </c>
    </row>
    <row r="2799" customFormat="false" ht="15" hidden="false" customHeight="false" outlineLevel="0" collapsed="false">
      <c r="B2799" s="16" t="str">
        <f aca="false">HYPERLINK("#Label!G127","← Back to label (row 127)")</f>
        <v>← Back to label (row 127)</v>
      </c>
    </row>
    <row r="2800" customFormat="false" ht="55.5" hidden="false" customHeight="true" outlineLevel="0" collapsed="false">
      <c r="A2800" s="17" t="s">
        <v>24</v>
      </c>
      <c r="B2800" s="18" t="s">
        <v>2135</v>
      </c>
    </row>
    <row r="2801" customFormat="false" ht="13.5" hidden="false" customHeight="true" outlineLevel="0" collapsed="false">
      <c r="A2801" s="17" t="s">
        <v>450</v>
      </c>
      <c r="B2801" s="4" t="s">
        <v>2629</v>
      </c>
    </row>
    <row r="2802" customFormat="false" ht="13.5" hidden="false" customHeight="true" outlineLevel="0" collapsed="false">
      <c r="A2802" s="17" t="s">
        <v>452</v>
      </c>
      <c r="B2802" s="18" t="s">
        <v>2630</v>
      </c>
    </row>
    <row r="2803" customFormat="false" ht="252" hidden="false" customHeight="true" outlineLevel="0" collapsed="false">
      <c r="A2803" s="17" t="s">
        <v>454</v>
      </c>
      <c r="B2803" s="4" t="s">
        <v>2631</v>
      </c>
    </row>
    <row r="2804" customFormat="false" ht="69.75" hidden="false" customHeight="true" outlineLevel="0" collapsed="false">
      <c r="A2804" s="17" t="s">
        <v>456</v>
      </c>
      <c r="B2804" s="18" t="s">
        <v>2632</v>
      </c>
    </row>
    <row r="2805" customFormat="false" ht="13.5" hidden="false" customHeight="true" outlineLevel="0" collapsed="false">
      <c r="A2805" s="17" t="s">
        <v>2633</v>
      </c>
      <c r="B2805" s="4" t="s">
        <v>2634</v>
      </c>
    </row>
    <row r="2806" customFormat="false" ht="13.5" hidden="false" customHeight="true" outlineLevel="0" collapsed="false">
      <c r="A2806" s="17"/>
      <c r="B2806" s="18" t="s">
        <v>2635</v>
      </c>
    </row>
    <row r="2807" customFormat="false" ht="13.5" hidden="false" customHeight="true" outlineLevel="0" collapsed="false">
      <c r="A2807" s="17"/>
      <c r="B2807" s="4" t="s">
        <v>2636</v>
      </c>
    </row>
    <row r="2808" customFormat="false" ht="13.5" hidden="false" customHeight="true" outlineLevel="0" collapsed="false">
      <c r="A2808" s="17"/>
      <c r="B2808" s="18" t="s">
        <v>2637</v>
      </c>
    </row>
    <row r="2809" customFormat="false" ht="13.5" hidden="false" customHeight="true" outlineLevel="0" collapsed="false">
      <c r="A2809" s="17"/>
      <c r="B2809" s="4" t="s">
        <v>2638</v>
      </c>
    </row>
    <row r="2810" customFormat="false" ht="13.5" hidden="false" customHeight="true" outlineLevel="0" collapsed="false">
      <c r="A2810" s="17"/>
      <c r="B2810" s="18" t="s">
        <v>2639</v>
      </c>
    </row>
    <row r="2811" customFormat="false" ht="13.5" hidden="false" customHeight="true" outlineLevel="0" collapsed="false">
      <c r="A2811" s="17"/>
      <c r="B2811" s="4" t="s">
        <v>2640</v>
      </c>
    </row>
    <row r="2812" customFormat="false" ht="13.5" hidden="false" customHeight="true" outlineLevel="0" collapsed="false">
      <c r="A2812" s="17"/>
      <c r="B2812" s="18" t="s">
        <v>2641</v>
      </c>
    </row>
    <row r="2813" customFormat="false" ht="13.5" hidden="false" customHeight="true" outlineLevel="0" collapsed="false">
      <c r="A2813" s="17"/>
      <c r="B2813" s="4" t="s">
        <v>2642</v>
      </c>
    </row>
    <row r="2814" customFormat="false" ht="13.5" hidden="false" customHeight="true" outlineLevel="0" collapsed="false">
      <c r="A2814" s="17"/>
      <c r="B2814" s="18" t="s">
        <v>2643</v>
      </c>
    </row>
    <row r="2815" customFormat="false" ht="27.75" hidden="false" customHeight="true" outlineLevel="0" collapsed="false">
      <c r="A2815" s="17"/>
      <c r="B2815" s="4" t="s">
        <v>2644</v>
      </c>
    </row>
    <row r="2816" customFormat="false" ht="13.5" hidden="false" customHeight="true" outlineLevel="0" collapsed="false">
      <c r="A2816" s="17"/>
      <c r="B2816" s="18" t="s">
        <v>2645</v>
      </c>
    </row>
    <row r="2817" customFormat="false" ht="13.5" hidden="false" customHeight="true" outlineLevel="0" collapsed="false">
      <c r="A2817" s="17"/>
      <c r="B2817" s="4" t="s">
        <v>2646</v>
      </c>
    </row>
    <row r="2818" customFormat="false" ht="13.5" hidden="false" customHeight="true" outlineLevel="0" collapsed="false">
      <c r="A2818" s="17"/>
      <c r="B2818" s="18" t="s">
        <v>2647</v>
      </c>
    </row>
    <row r="2819" customFormat="false" ht="13.5" hidden="false" customHeight="true" outlineLevel="0" collapsed="false">
      <c r="A2819" s="17"/>
      <c r="B2819" s="4" t="s">
        <v>2648</v>
      </c>
    </row>
    <row r="2820" customFormat="false" ht="13.5" hidden="false" customHeight="true" outlineLevel="0" collapsed="false">
      <c r="A2820" s="17"/>
      <c r="B2820" s="18" t="s">
        <v>2649</v>
      </c>
    </row>
    <row r="2821" customFormat="false" ht="13.5" hidden="false" customHeight="true" outlineLevel="0" collapsed="false">
      <c r="A2821" s="17"/>
      <c r="B2821" s="4" t="s">
        <v>2650</v>
      </c>
    </row>
    <row r="2822" customFormat="false" ht="27.75" hidden="false" customHeight="true" outlineLevel="0" collapsed="false">
      <c r="A2822" s="17"/>
      <c r="B2822" s="18" t="s">
        <v>2651</v>
      </c>
    </row>
    <row r="2823" customFormat="false" ht="13.5" hidden="false" customHeight="true" outlineLevel="0" collapsed="false">
      <c r="A2823" s="17"/>
      <c r="B2823" s="4" t="s">
        <v>2652</v>
      </c>
    </row>
    <row r="2824" customFormat="false" ht="13.5" hidden="false" customHeight="true" outlineLevel="0" collapsed="false">
      <c r="A2824" s="17"/>
      <c r="B2824" s="18" t="s">
        <v>2653</v>
      </c>
    </row>
    <row r="2825" customFormat="false" ht="13.5" hidden="false" customHeight="true" outlineLevel="0" collapsed="false">
      <c r="A2825" s="17"/>
      <c r="B2825" s="4" t="s">
        <v>2654</v>
      </c>
    </row>
    <row r="2826" customFormat="false" ht="13.5" hidden="false" customHeight="true" outlineLevel="0" collapsed="false">
      <c r="A2826" s="17"/>
      <c r="B2826" s="18" t="s">
        <v>2655</v>
      </c>
    </row>
    <row r="2827" customFormat="false" ht="13.5" hidden="false" customHeight="true" outlineLevel="0" collapsed="false">
      <c r="A2827" s="17"/>
      <c r="B2827" s="4" t="s">
        <v>2656</v>
      </c>
    </row>
    <row r="2828" customFormat="false" ht="13.5" hidden="false" customHeight="true" outlineLevel="0" collapsed="false">
      <c r="A2828" s="17"/>
      <c r="B2828" s="18" t="s">
        <v>2657</v>
      </c>
    </row>
    <row r="2829" customFormat="false" ht="27.75" hidden="false" customHeight="true" outlineLevel="0" collapsed="false">
      <c r="A2829" s="17"/>
      <c r="B2829" s="4" t="s">
        <v>2658</v>
      </c>
    </row>
    <row r="2830" customFormat="false" ht="27.75" hidden="false" customHeight="true" outlineLevel="0" collapsed="false">
      <c r="A2830" s="17"/>
      <c r="B2830" s="18" t="s">
        <v>2659</v>
      </c>
    </row>
    <row r="2831" customFormat="false" ht="13.5" hidden="false" customHeight="true" outlineLevel="0" collapsed="false">
      <c r="A2831" s="17"/>
      <c r="B2831" s="4" t="s">
        <v>2660</v>
      </c>
    </row>
    <row r="2832" customFormat="false" ht="13.5" hidden="false" customHeight="true" outlineLevel="0" collapsed="false">
      <c r="A2832" s="17"/>
      <c r="B2832" s="18" t="s">
        <v>2661</v>
      </c>
    </row>
    <row r="2833" customFormat="false" ht="13.5" hidden="false" customHeight="true" outlineLevel="0" collapsed="false">
      <c r="A2833" s="17"/>
      <c r="B2833" s="4" t="s">
        <v>2662</v>
      </c>
    </row>
    <row r="2834" customFormat="false" ht="27.75" hidden="false" customHeight="true" outlineLevel="0" collapsed="false">
      <c r="A2834" s="17"/>
      <c r="B2834" s="18" t="s">
        <v>2663</v>
      </c>
    </row>
    <row r="2835" customFormat="false" ht="13.5" hidden="false" customHeight="true" outlineLevel="0" collapsed="false">
      <c r="A2835" s="17"/>
      <c r="B2835" s="4" t="s">
        <v>2664</v>
      </c>
    </row>
    <row r="2836" customFormat="false" ht="13.5" hidden="false" customHeight="true" outlineLevel="0" collapsed="false">
      <c r="A2836" s="17"/>
      <c r="B2836" s="18" t="s">
        <v>2665</v>
      </c>
    </row>
    <row r="2837" customFormat="false" ht="13.5" hidden="false" customHeight="true" outlineLevel="0" collapsed="false">
      <c r="A2837" s="17"/>
      <c r="B2837" s="4" t="s">
        <v>2666</v>
      </c>
    </row>
    <row r="2838" customFormat="false" ht="13.5" hidden="false" customHeight="true" outlineLevel="0" collapsed="false">
      <c r="A2838" s="17"/>
      <c r="B2838" s="18" t="s">
        <v>2667</v>
      </c>
    </row>
    <row r="2839" customFormat="false" ht="13.5" hidden="false" customHeight="true" outlineLevel="0" collapsed="false">
      <c r="A2839" s="17"/>
      <c r="B2839" s="4" t="s">
        <v>2668</v>
      </c>
    </row>
    <row r="2840" customFormat="false" ht="13.5" hidden="false" customHeight="true" outlineLevel="0" collapsed="false">
      <c r="A2840" s="17"/>
      <c r="B2840" s="18" t="s">
        <v>2669</v>
      </c>
    </row>
    <row r="2841" customFormat="false" ht="13.5" hidden="false" customHeight="true" outlineLevel="0" collapsed="false">
      <c r="A2841" s="17"/>
      <c r="B2841" s="4" t="s">
        <v>2670</v>
      </c>
    </row>
    <row r="2842" customFormat="false" ht="27.75" hidden="false" customHeight="true" outlineLevel="0" collapsed="false">
      <c r="A2842" s="17"/>
      <c r="B2842" s="18" t="s">
        <v>2671</v>
      </c>
    </row>
    <row r="2843" customFormat="false" ht="27.75" hidden="false" customHeight="true" outlineLevel="0" collapsed="false">
      <c r="A2843" s="17"/>
      <c r="B2843" s="4" t="s">
        <v>2672</v>
      </c>
    </row>
    <row r="2844" customFormat="false" ht="27.75" hidden="false" customHeight="true" outlineLevel="0" collapsed="false">
      <c r="A2844" s="17"/>
      <c r="B2844" s="18" t="s">
        <v>2673</v>
      </c>
    </row>
    <row r="2845" customFormat="false" ht="27.75" hidden="false" customHeight="true" outlineLevel="0" collapsed="false">
      <c r="A2845" s="17"/>
      <c r="B2845" s="4" t="s">
        <v>2674</v>
      </c>
    </row>
    <row r="2846" customFormat="false" ht="13.5" hidden="false" customHeight="true" outlineLevel="0" collapsed="false">
      <c r="A2846" s="17"/>
      <c r="B2846" s="18" t="s">
        <v>2675</v>
      </c>
    </row>
    <row r="2847" customFormat="false" ht="13.5" hidden="false" customHeight="true" outlineLevel="0" collapsed="false">
      <c r="A2847" s="17"/>
      <c r="B2847" s="4" t="s">
        <v>2676</v>
      </c>
    </row>
    <row r="2848" customFormat="false" ht="13.5" hidden="false" customHeight="true" outlineLevel="0" collapsed="false">
      <c r="A2848" s="17"/>
      <c r="B2848" s="18" t="s">
        <v>2677</v>
      </c>
    </row>
    <row r="2849" customFormat="false" ht="13.5" hidden="false" customHeight="true" outlineLevel="0" collapsed="false">
      <c r="A2849" s="17"/>
      <c r="B2849" s="4" t="s">
        <v>2678</v>
      </c>
    </row>
    <row r="2850" customFormat="false" ht="27.75" hidden="false" customHeight="true" outlineLevel="0" collapsed="false">
      <c r="A2850" s="17"/>
      <c r="B2850" s="18" t="s">
        <v>2679</v>
      </c>
    </row>
    <row r="2851" customFormat="false" ht="13.5" hidden="false" customHeight="true" outlineLevel="0" collapsed="false">
      <c r="A2851" s="17"/>
      <c r="B2851" s="4" t="s">
        <v>2680</v>
      </c>
    </row>
    <row r="2852" customFormat="false" ht="13.5" hidden="false" customHeight="true" outlineLevel="0" collapsed="false">
      <c r="A2852" s="17"/>
      <c r="B2852" s="18" t="s">
        <v>2681</v>
      </c>
    </row>
    <row r="2853" customFormat="false" ht="13.5" hidden="false" customHeight="true" outlineLevel="0" collapsed="false">
      <c r="A2853" s="17"/>
      <c r="B2853" s="4" t="s">
        <v>2682</v>
      </c>
    </row>
    <row r="2854" customFormat="false" ht="13.5" hidden="false" customHeight="true" outlineLevel="0" collapsed="false">
      <c r="A2854" s="17"/>
      <c r="B2854" s="18" t="s">
        <v>2683</v>
      </c>
    </row>
    <row r="2855" customFormat="false" ht="13.5" hidden="false" customHeight="true" outlineLevel="0" collapsed="false">
      <c r="A2855" s="17"/>
      <c r="B2855" s="4" t="s">
        <v>2684</v>
      </c>
    </row>
    <row r="2856" customFormat="false" ht="13.5" hidden="false" customHeight="true" outlineLevel="0" collapsed="false">
      <c r="A2856" s="17"/>
      <c r="B2856" s="18" t="s">
        <v>2685</v>
      </c>
    </row>
    <row r="2857" customFormat="false" ht="13.5" hidden="false" customHeight="true" outlineLevel="0" collapsed="false">
      <c r="A2857" s="17"/>
      <c r="B2857" s="4" t="s">
        <v>2686</v>
      </c>
    </row>
    <row r="2858" customFormat="false" ht="13.5" hidden="false" customHeight="true" outlineLevel="0" collapsed="false">
      <c r="A2858" s="17"/>
      <c r="B2858" s="18" t="s">
        <v>2687</v>
      </c>
    </row>
    <row r="2859" customFormat="false" ht="27.75" hidden="false" customHeight="true" outlineLevel="0" collapsed="false">
      <c r="A2859" s="17"/>
      <c r="B2859" s="4" t="s">
        <v>2688</v>
      </c>
    </row>
    <row r="2860" customFormat="false" ht="13.5" hidden="false" customHeight="true" outlineLevel="0" collapsed="false">
      <c r="A2860" s="17"/>
      <c r="B2860" s="18" t="s">
        <v>2689</v>
      </c>
    </row>
    <row r="2861" customFormat="false" ht="13.5" hidden="false" customHeight="true" outlineLevel="0" collapsed="false">
      <c r="A2861" s="17"/>
      <c r="B2861" s="4" t="s">
        <v>2690</v>
      </c>
    </row>
    <row r="2862" customFormat="false" ht="27.75" hidden="false" customHeight="true" outlineLevel="0" collapsed="false">
      <c r="A2862" s="17"/>
      <c r="B2862" s="18" t="s">
        <v>2691</v>
      </c>
    </row>
    <row r="2863" customFormat="false" ht="13.5" hidden="false" customHeight="true" outlineLevel="0" collapsed="false">
      <c r="A2863" s="17"/>
      <c r="B2863" s="4" t="s">
        <v>2692</v>
      </c>
    </row>
    <row r="2864" customFormat="false" ht="13.5" hidden="false" customHeight="true" outlineLevel="0" collapsed="false">
      <c r="A2864" s="17"/>
      <c r="B2864" s="18" t="s">
        <v>2693</v>
      </c>
    </row>
    <row r="2865" customFormat="false" ht="13.5" hidden="false" customHeight="true" outlineLevel="0" collapsed="false">
      <c r="A2865" s="17"/>
      <c r="B2865" s="20" t="s">
        <v>2694</v>
      </c>
    </row>
    <row r="2868" customFormat="false" ht="15" hidden="false" customHeight="false" outlineLevel="0" collapsed="false">
      <c r="A2868" s="15" t="s">
        <v>378</v>
      </c>
      <c r="B2868" s="15" t="s">
        <v>2695</v>
      </c>
    </row>
    <row r="2869" customFormat="false" ht="15" hidden="false" customHeight="false" outlineLevel="0" collapsed="false">
      <c r="B2869" s="16" t="str">
        <f aca="false">HYPERLINK("#Label!G128","← Back to label (row 128)")</f>
        <v>← Back to label (row 128)</v>
      </c>
    </row>
    <row r="2870" customFormat="false" ht="13.5" hidden="false" customHeight="true" outlineLevel="0" collapsed="false">
      <c r="A2870" s="17" t="s">
        <v>24</v>
      </c>
      <c r="B2870" s="18" t="s">
        <v>49</v>
      </c>
    </row>
    <row r="2871" customFormat="false" ht="13.5" hidden="false" customHeight="true" outlineLevel="0" collapsed="false">
      <c r="A2871" s="17" t="s">
        <v>450</v>
      </c>
      <c r="B2871" s="4" t="s">
        <v>2696</v>
      </c>
    </row>
    <row r="2872" customFormat="false" ht="13.5" hidden="false" customHeight="true" outlineLevel="0" collapsed="false">
      <c r="A2872" s="17" t="s">
        <v>454</v>
      </c>
      <c r="B2872" s="19" t="s">
        <v>486</v>
      </c>
    </row>
    <row r="2873" customFormat="false" ht="13.5" hidden="false" customHeight="true" outlineLevel="0" collapsed="false">
      <c r="A2873" s="17" t="s">
        <v>456</v>
      </c>
      <c r="B2873" s="20" t="s">
        <v>457</v>
      </c>
    </row>
    <row r="2874" customFormat="false" ht="13.5" hidden="false" customHeight="true" outlineLevel="0" collapsed="false">
      <c r="A2874" s="17" t="s">
        <v>514</v>
      </c>
      <c r="B2874" s="18" t="s">
        <v>2697</v>
      </c>
    </row>
    <row r="2875" customFormat="false" ht="13.5" hidden="false" customHeight="true" outlineLevel="0" collapsed="false">
      <c r="A2875" s="17"/>
      <c r="B2875" s="4" t="s">
        <v>2698</v>
      </c>
    </row>
    <row r="2878" customFormat="false" ht="15" hidden="false" customHeight="false" outlineLevel="0" collapsed="false">
      <c r="A2878" s="15" t="s">
        <v>380</v>
      </c>
      <c r="B2878" s="15" t="s">
        <v>2699</v>
      </c>
    </row>
    <row r="2879" customFormat="false" ht="15" hidden="false" customHeight="false" outlineLevel="0" collapsed="false">
      <c r="B2879" s="16" t="str">
        <f aca="false">HYPERLINK("#Label!G129","← Back to label (row 129)")</f>
        <v>← Back to label (row 129)</v>
      </c>
    </row>
    <row r="2880" customFormat="false" ht="27.75" hidden="false" customHeight="true" outlineLevel="0" collapsed="false">
      <c r="A2880" s="17" t="s">
        <v>24</v>
      </c>
      <c r="B2880" s="18" t="s">
        <v>382</v>
      </c>
    </row>
    <row r="2881" customFormat="false" ht="13.5" hidden="false" customHeight="true" outlineLevel="0" collapsed="false">
      <c r="A2881" s="17" t="s">
        <v>450</v>
      </c>
      <c r="B2881" s="4" t="s">
        <v>2700</v>
      </c>
    </row>
    <row r="2882" customFormat="false" ht="13.5" hidden="false" customHeight="true" outlineLevel="0" collapsed="false">
      <c r="A2882" s="17" t="s">
        <v>452</v>
      </c>
      <c r="B2882" s="18" t="s">
        <v>2701</v>
      </c>
    </row>
    <row r="2883" customFormat="false" ht="153.75" hidden="false" customHeight="true" outlineLevel="0" collapsed="false">
      <c r="A2883" s="17" t="s">
        <v>454</v>
      </c>
      <c r="B2883" s="4" t="s">
        <v>2702</v>
      </c>
    </row>
    <row r="2884" customFormat="false" ht="13.5" hidden="false" customHeight="true" outlineLevel="0" collapsed="false">
      <c r="A2884" s="17" t="s">
        <v>456</v>
      </c>
      <c r="B2884" s="19" t="s">
        <v>457</v>
      </c>
    </row>
    <row r="2885" customFormat="false" ht="13.5" hidden="false" customHeight="true" outlineLevel="0" collapsed="false">
      <c r="A2885" s="17" t="s">
        <v>1376</v>
      </c>
      <c r="B2885" s="4" t="s">
        <v>2703</v>
      </c>
    </row>
    <row r="2886" customFormat="false" ht="13.5" hidden="false" customHeight="true" outlineLevel="0" collapsed="false">
      <c r="A2886" s="17"/>
      <c r="B2886" s="18" t="s">
        <v>2704</v>
      </c>
    </row>
    <row r="2887" customFormat="false" ht="13.5" hidden="false" customHeight="true" outlineLevel="0" collapsed="false">
      <c r="A2887" s="17"/>
      <c r="B2887" s="4" t="s">
        <v>2705</v>
      </c>
    </row>
    <row r="2888" customFormat="false" ht="13.5" hidden="false" customHeight="true" outlineLevel="0" collapsed="false">
      <c r="A2888" s="17"/>
      <c r="B2888" s="18" t="s">
        <v>2706</v>
      </c>
    </row>
    <row r="2889" customFormat="false" ht="13.5" hidden="false" customHeight="true" outlineLevel="0" collapsed="false">
      <c r="A2889" s="17"/>
      <c r="B2889" s="4" t="s">
        <v>2707</v>
      </c>
    </row>
    <row r="2892" customFormat="false" ht="15" hidden="false" customHeight="false" outlineLevel="0" collapsed="false">
      <c r="A2892" s="15" t="s">
        <v>383</v>
      </c>
      <c r="B2892" s="15" t="s">
        <v>2708</v>
      </c>
    </row>
    <row r="2893" customFormat="false" ht="15" hidden="false" customHeight="false" outlineLevel="0" collapsed="false">
      <c r="B2893" s="16" t="str">
        <f aca="false">HYPERLINK("#Label!G130","← Back to label (row 130)")</f>
        <v>← Back to label (row 130)</v>
      </c>
    </row>
    <row r="2894" customFormat="false" ht="13.5" hidden="false" customHeight="true" outlineLevel="0" collapsed="false">
      <c r="A2894" s="17" t="s">
        <v>24</v>
      </c>
      <c r="B2894" s="18" t="s">
        <v>59</v>
      </c>
    </row>
    <row r="2895" customFormat="false" ht="13.5" hidden="false" customHeight="true" outlineLevel="0" collapsed="false">
      <c r="A2895" s="17" t="s">
        <v>450</v>
      </c>
      <c r="B2895" s="4" t="s">
        <v>2709</v>
      </c>
    </row>
    <row r="2896" customFormat="false" ht="13.5" hidden="false" customHeight="true" outlineLevel="0" collapsed="false">
      <c r="A2896" s="17" t="s">
        <v>452</v>
      </c>
      <c r="B2896" s="18" t="s">
        <v>2710</v>
      </c>
    </row>
    <row r="2897" customFormat="false" ht="13.5" hidden="false" customHeight="true" outlineLevel="0" collapsed="false">
      <c r="A2897" s="17" t="s">
        <v>454</v>
      </c>
      <c r="B2897" s="20" t="s">
        <v>486</v>
      </c>
    </row>
    <row r="2898" customFormat="false" ht="13.5" hidden="false" customHeight="true" outlineLevel="0" collapsed="false">
      <c r="A2898" s="17" t="s">
        <v>456</v>
      </c>
      <c r="B2898" s="19" t="s">
        <v>457</v>
      </c>
    </row>
    <row r="2899" customFormat="false" ht="13.5" hidden="false" customHeight="true" outlineLevel="0" collapsed="false">
      <c r="A2899" s="17" t="s">
        <v>519</v>
      </c>
      <c r="B2899" s="4" t="s">
        <v>2711</v>
      </c>
    </row>
    <row r="2902" customFormat="false" ht="15" hidden="false" customHeight="false" outlineLevel="0" collapsed="false">
      <c r="A2902" s="15" t="s">
        <v>385</v>
      </c>
      <c r="B2902" s="15" t="s">
        <v>2712</v>
      </c>
    </row>
    <row r="2903" customFormat="false" ht="15" hidden="false" customHeight="false" outlineLevel="0" collapsed="false">
      <c r="B2903" s="16" t="str">
        <f aca="false">HYPERLINK("#Label!G131","← Back to label (row 131)")</f>
        <v>← Back to label (row 131)</v>
      </c>
    </row>
    <row r="2904" customFormat="false" ht="27.75" hidden="false" customHeight="true" outlineLevel="0" collapsed="false">
      <c r="A2904" s="17" t="s">
        <v>24</v>
      </c>
      <c r="B2904" s="18" t="s">
        <v>387</v>
      </c>
    </row>
    <row r="2905" customFormat="false" ht="13.5" hidden="false" customHeight="true" outlineLevel="0" collapsed="false">
      <c r="A2905" s="17" t="s">
        <v>450</v>
      </c>
      <c r="B2905" s="4" t="s">
        <v>2713</v>
      </c>
    </row>
    <row r="2906" customFormat="false" ht="13.5" hidden="false" customHeight="true" outlineLevel="0" collapsed="false">
      <c r="A2906" s="17" t="s">
        <v>452</v>
      </c>
      <c r="B2906" s="18" t="s">
        <v>2714</v>
      </c>
    </row>
    <row r="2907" customFormat="false" ht="84" hidden="false" customHeight="true" outlineLevel="0" collapsed="false">
      <c r="A2907" s="17" t="s">
        <v>454</v>
      </c>
      <c r="B2907" s="4" t="s">
        <v>2715</v>
      </c>
    </row>
    <row r="2908" customFormat="false" ht="13.5" hidden="false" customHeight="true" outlineLevel="0" collapsed="false">
      <c r="A2908" s="17" t="s">
        <v>456</v>
      </c>
      <c r="B2908" s="19" t="s">
        <v>457</v>
      </c>
    </row>
    <row r="2909" customFormat="false" ht="27.75" hidden="false" customHeight="true" outlineLevel="0" collapsed="false">
      <c r="A2909" s="17" t="s">
        <v>500</v>
      </c>
      <c r="B2909" s="4" t="s">
        <v>2716</v>
      </c>
    </row>
    <row r="2910" customFormat="false" ht="13.5" hidden="false" customHeight="true" outlineLevel="0" collapsed="false">
      <c r="A2910" s="17"/>
      <c r="B2910" s="18" t="s">
        <v>2717</v>
      </c>
    </row>
    <row r="2911" customFormat="false" ht="13.5" hidden="false" customHeight="true" outlineLevel="0" collapsed="false">
      <c r="A2911" s="17"/>
      <c r="B2911" s="4" t="s">
        <v>2718</v>
      </c>
    </row>
    <row r="2914" customFormat="false" ht="15" hidden="false" customHeight="false" outlineLevel="0" collapsed="false">
      <c r="A2914" s="15" t="s">
        <v>388</v>
      </c>
      <c r="B2914" s="15" t="s">
        <v>2719</v>
      </c>
    </row>
    <row r="2915" customFormat="false" ht="15" hidden="false" customHeight="false" outlineLevel="0" collapsed="false">
      <c r="B2915" s="16" t="str">
        <f aca="false">HYPERLINK("#Label!G132","← Back to label (row 132)")</f>
        <v>← Back to label (row 132)</v>
      </c>
    </row>
    <row r="2916" customFormat="false" ht="42" hidden="false" customHeight="true" outlineLevel="0" collapsed="false">
      <c r="A2916" s="17" t="s">
        <v>24</v>
      </c>
      <c r="B2916" s="18" t="s">
        <v>390</v>
      </c>
    </row>
    <row r="2917" customFormat="false" ht="13.5" hidden="false" customHeight="true" outlineLevel="0" collapsed="false">
      <c r="A2917" s="17" t="s">
        <v>450</v>
      </c>
      <c r="B2917" s="4" t="s">
        <v>2720</v>
      </c>
    </row>
    <row r="2918" customFormat="false" ht="13.5" hidden="false" customHeight="true" outlineLevel="0" collapsed="false">
      <c r="A2918" s="17" t="s">
        <v>452</v>
      </c>
      <c r="B2918" s="18" t="s">
        <v>2721</v>
      </c>
    </row>
    <row r="2919" customFormat="false" ht="13.5" hidden="false" customHeight="true" outlineLevel="0" collapsed="false">
      <c r="A2919" s="17" t="s">
        <v>454</v>
      </c>
      <c r="B2919" s="4" t="s">
        <v>2722</v>
      </c>
    </row>
    <row r="2920" customFormat="false" ht="27.75" hidden="false" customHeight="true" outlineLevel="0" collapsed="false">
      <c r="A2920" s="17" t="s">
        <v>456</v>
      </c>
      <c r="B2920" s="18" t="s">
        <v>2723</v>
      </c>
    </row>
    <row r="2921" customFormat="false" ht="13.5" hidden="false" customHeight="true" outlineLevel="0" collapsed="false">
      <c r="A2921" s="17" t="s">
        <v>519</v>
      </c>
      <c r="B2921" s="4" t="s">
        <v>2724</v>
      </c>
    </row>
    <row r="2924" customFormat="false" ht="15" hidden="false" customHeight="false" outlineLevel="0" collapsed="false">
      <c r="A2924" s="15" t="s">
        <v>392</v>
      </c>
      <c r="B2924" s="15" t="s">
        <v>2725</v>
      </c>
    </row>
    <row r="2925" customFormat="false" ht="15" hidden="false" customHeight="false" outlineLevel="0" collapsed="false">
      <c r="B2925" s="16" t="str">
        <f aca="false">HYPERLINK("#Label!G133","← Back to label (row 133)")</f>
        <v>← Back to label (row 133)</v>
      </c>
    </row>
    <row r="2926" customFormat="false" ht="13.5" hidden="false" customHeight="true" outlineLevel="0" collapsed="false">
      <c r="A2926" s="17" t="s">
        <v>24</v>
      </c>
      <c r="B2926" s="18" t="s">
        <v>75</v>
      </c>
    </row>
    <row r="2927" customFormat="false" ht="13.5" hidden="false" customHeight="true" outlineLevel="0" collapsed="false">
      <c r="A2927" s="17" t="s">
        <v>450</v>
      </c>
      <c r="B2927" s="4" t="s">
        <v>2726</v>
      </c>
    </row>
    <row r="2928" customFormat="false" ht="13.5" hidden="false" customHeight="true" outlineLevel="0" collapsed="false">
      <c r="A2928" s="17" t="s">
        <v>454</v>
      </c>
      <c r="B2928" s="19" t="s">
        <v>486</v>
      </c>
    </row>
    <row r="2929" customFormat="false" ht="13.5" hidden="false" customHeight="true" outlineLevel="0" collapsed="false">
      <c r="A2929" s="17" t="s">
        <v>456</v>
      </c>
      <c r="B2929" s="20" t="s">
        <v>457</v>
      </c>
    </row>
    <row r="2930" customFormat="false" ht="13.5" hidden="false" customHeight="true" outlineLevel="0" collapsed="false">
      <c r="A2930" s="17" t="s">
        <v>487</v>
      </c>
      <c r="B2930" s="18" t="s">
        <v>2727</v>
      </c>
    </row>
    <row r="2931" customFormat="false" ht="13.5" hidden="false" customHeight="true" outlineLevel="0" collapsed="false">
      <c r="A2931" s="17"/>
      <c r="B2931" s="4" t="s">
        <v>2728</v>
      </c>
    </row>
    <row r="2932" customFormat="false" ht="13.5" hidden="false" customHeight="true" outlineLevel="0" collapsed="false">
      <c r="A2932" s="17"/>
      <c r="B2932" s="18" t="s">
        <v>2729</v>
      </c>
    </row>
    <row r="2933" customFormat="false" ht="13.5" hidden="false" customHeight="true" outlineLevel="0" collapsed="false">
      <c r="A2933" s="17"/>
      <c r="B2933" s="4" t="s">
        <v>2730</v>
      </c>
    </row>
    <row r="2934" customFormat="false" ht="13.5" hidden="false" customHeight="true" outlineLevel="0" collapsed="false">
      <c r="A2934" s="17"/>
      <c r="B2934" s="18" t="s">
        <v>2731</v>
      </c>
    </row>
    <row r="2935" customFormat="false" ht="13.5" hidden="false" customHeight="true" outlineLevel="0" collapsed="false">
      <c r="A2935" s="17"/>
      <c r="B2935" s="4" t="s">
        <v>2732</v>
      </c>
    </row>
    <row r="2936" customFormat="false" ht="13.5" hidden="false" customHeight="true" outlineLevel="0" collapsed="false">
      <c r="A2936" s="17"/>
      <c r="B2936" s="18" t="s">
        <v>2733</v>
      </c>
    </row>
    <row r="2937" customFormat="false" ht="13.5" hidden="false" customHeight="true" outlineLevel="0" collapsed="false">
      <c r="A2937" s="17"/>
      <c r="B2937" s="4" t="s">
        <v>2734</v>
      </c>
    </row>
    <row r="2938" customFormat="false" ht="13.5" hidden="false" customHeight="true" outlineLevel="0" collapsed="false">
      <c r="A2938" s="17"/>
      <c r="B2938" s="18" t="s">
        <v>2735</v>
      </c>
    </row>
    <row r="2939" customFormat="false" ht="13.5" hidden="false" customHeight="true" outlineLevel="0" collapsed="false">
      <c r="A2939" s="17"/>
      <c r="B2939" s="4" t="s">
        <v>2736</v>
      </c>
    </row>
    <row r="2942" customFormat="false" ht="15" hidden="false" customHeight="false" outlineLevel="0" collapsed="false">
      <c r="A2942" s="15" t="s">
        <v>395</v>
      </c>
      <c r="B2942" s="15" t="s">
        <v>2737</v>
      </c>
    </row>
    <row r="2943" customFormat="false" ht="15" hidden="false" customHeight="false" outlineLevel="0" collapsed="false">
      <c r="B2943" s="16" t="str">
        <f aca="false">HYPERLINK("#Label!G134","← Back to label (row 134)")</f>
        <v>← Back to label (row 134)</v>
      </c>
    </row>
    <row r="2944" customFormat="false" ht="13.5" hidden="false" customHeight="true" outlineLevel="0" collapsed="false">
      <c r="A2944" s="17" t="s">
        <v>24</v>
      </c>
      <c r="B2944" s="18" t="s">
        <v>67</v>
      </c>
    </row>
    <row r="2945" customFormat="false" ht="13.5" hidden="false" customHeight="true" outlineLevel="0" collapsed="false">
      <c r="A2945" s="17" t="s">
        <v>450</v>
      </c>
      <c r="B2945" s="4" t="s">
        <v>2738</v>
      </c>
    </row>
    <row r="2946" customFormat="false" ht="13.5" hidden="false" customHeight="true" outlineLevel="0" collapsed="false">
      <c r="A2946" s="17" t="s">
        <v>452</v>
      </c>
      <c r="B2946" s="18" t="s">
        <v>2739</v>
      </c>
    </row>
    <row r="2947" customFormat="false" ht="97.5" hidden="false" customHeight="true" outlineLevel="0" collapsed="false">
      <c r="A2947" s="17" t="s">
        <v>454</v>
      </c>
      <c r="B2947" s="4" t="s">
        <v>2740</v>
      </c>
    </row>
    <row r="2948" customFormat="false" ht="13.5" hidden="false" customHeight="true" outlineLevel="0" collapsed="false">
      <c r="A2948" s="17" t="s">
        <v>456</v>
      </c>
      <c r="B2948" s="19" t="s">
        <v>457</v>
      </c>
    </row>
    <row r="2949" customFormat="false" ht="13.5" hidden="false" customHeight="true" outlineLevel="0" collapsed="false">
      <c r="A2949" s="17" t="s">
        <v>508</v>
      </c>
      <c r="B2949" s="20" t="s">
        <v>509</v>
      </c>
    </row>
    <row r="2952" customFormat="false" ht="15" hidden="false" customHeight="false" outlineLevel="0" collapsed="false">
      <c r="A2952" s="15" t="s">
        <v>397</v>
      </c>
      <c r="B2952" s="15" t="s">
        <v>2741</v>
      </c>
    </row>
    <row r="2953" customFormat="false" ht="15" hidden="false" customHeight="false" outlineLevel="0" collapsed="false">
      <c r="B2953" s="16" t="str">
        <f aca="false">HYPERLINK("#Label!G135","← Back to label (row 135)")</f>
        <v>← Back to label (row 135)</v>
      </c>
    </row>
    <row r="2954" customFormat="false" ht="42" hidden="false" customHeight="true" outlineLevel="0" collapsed="false">
      <c r="A2954" s="17" t="s">
        <v>24</v>
      </c>
      <c r="B2954" s="18" t="s">
        <v>399</v>
      </c>
    </row>
    <row r="2955" customFormat="false" ht="13.5" hidden="false" customHeight="true" outlineLevel="0" collapsed="false">
      <c r="A2955" s="17" t="s">
        <v>450</v>
      </c>
      <c r="B2955" s="4" t="s">
        <v>2742</v>
      </c>
    </row>
    <row r="2956" customFormat="false" ht="13.5" hidden="false" customHeight="true" outlineLevel="0" collapsed="false">
      <c r="A2956" s="17" t="s">
        <v>454</v>
      </c>
      <c r="B2956" s="19" t="s">
        <v>486</v>
      </c>
    </row>
    <row r="2957" customFormat="false" ht="13.5" hidden="false" customHeight="true" outlineLevel="0" collapsed="false">
      <c r="A2957" s="17" t="s">
        <v>456</v>
      </c>
      <c r="B2957" s="20" t="s">
        <v>457</v>
      </c>
    </row>
    <row r="2958" customFormat="false" ht="13.5" hidden="false" customHeight="true" outlineLevel="0" collapsed="false">
      <c r="A2958" s="17" t="s">
        <v>1997</v>
      </c>
      <c r="B2958" s="18" t="s">
        <v>2743</v>
      </c>
    </row>
    <row r="2959" customFormat="false" ht="27.75" hidden="false" customHeight="true" outlineLevel="0" collapsed="false">
      <c r="A2959" s="17"/>
      <c r="B2959" s="4" t="s">
        <v>2744</v>
      </c>
    </row>
    <row r="2960" customFormat="false" ht="27.75" hidden="false" customHeight="true" outlineLevel="0" collapsed="false">
      <c r="A2960" s="17"/>
      <c r="B2960" s="18" t="s">
        <v>2745</v>
      </c>
    </row>
    <row r="2961" customFormat="false" ht="13.5" hidden="false" customHeight="true" outlineLevel="0" collapsed="false">
      <c r="A2961" s="17"/>
      <c r="B2961" s="4" t="s">
        <v>2746</v>
      </c>
    </row>
    <row r="2962" customFormat="false" ht="13.5" hidden="false" customHeight="true" outlineLevel="0" collapsed="false">
      <c r="A2962" s="17"/>
      <c r="B2962" s="18" t="s">
        <v>2747</v>
      </c>
    </row>
    <row r="2963" customFormat="false" ht="13.5" hidden="false" customHeight="true" outlineLevel="0" collapsed="false">
      <c r="A2963" s="17"/>
      <c r="B2963" s="4" t="s">
        <v>2748</v>
      </c>
    </row>
    <row r="2964" customFormat="false" ht="13.5" hidden="false" customHeight="true" outlineLevel="0" collapsed="false">
      <c r="A2964" s="17"/>
      <c r="B2964" s="18" t="s">
        <v>2749</v>
      </c>
    </row>
    <row r="2965" customFormat="false" ht="13.5" hidden="false" customHeight="true" outlineLevel="0" collapsed="false">
      <c r="A2965" s="17"/>
      <c r="B2965" s="4" t="s">
        <v>2750</v>
      </c>
    </row>
    <row r="2966" customFormat="false" ht="13.5" hidden="false" customHeight="true" outlineLevel="0" collapsed="false">
      <c r="A2966" s="17"/>
      <c r="B2966" s="18" t="s">
        <v>2751</v>
      </c>
    </row>
    <row r="2967" customFormat="false" ht="13.5" hidden="false" customHeight="true" outlineLevel="0" collapsed="false">
      <c r="A2967" s="17"/>
      <c r="B2967" s="4" t="s">
        <v>2752</v>
      </c>
    </row>
    <row r="2968" customFormat="false" ht="13.5" hidden="false" customHeight="true" outlineLevel="0" collapsed="false">
      <c r="A2968" s="17"/>
      <c r="B2968" s="18" t="s">
        <v>2753</v>
      </c>
    </row>
    <row r="2969" customFormat="false" ht="13.5" hidden="false" customHeight="true" outlineLevel="0" collapsed="false">
      <c r="A2969" s="17"/>
      <c r="B2969" s="4" t="s">
        <v>2754</v>
      </c>
    </row>
    <row r="2970" customFormat="false" ht="27.75" hidden="false" customHeight="true" outlineLevel="0" collapsed="false">
      <c r="A2970" s="17"/>
      <c r="B2970" s="18" t="s">
        <v>2755</v>
      </c>
    </row>
    <row r="2971" customFormat="false" ht="13.5" hidden="false" customHeight="true" outlineLevel="0" collapsed="false">
      <c r="A2971" s="17"/>
      <c r="B2971" s="4" t="s">
        <v>2756</v>
      </c>
    </row>
    <row r="2972" customFormat="false" ht="13.5" hidden="false" customHeight="true" outlineLevel="0" collapsed="false">
      <c r="A2972" s="17"/>
      <c r="B2972" s="18" t="s">
        <v>2757</v>
      </c>
    </row>
    <row r="2973" customFormat="false" ht="13.5" hidden="false" customHeight="true" outlineLevel="0" collapsed="false">
      <c r="A2973" s="17"/>
      <c r="B2973" s="4" t="s">
        <v>2758</v>
      </c>
    </row>
    <row r="2974" customFormat="false" ht="13.5" hidden="false" customHeight="true" outlineLevel="0" collapsed="false">
      <c r="A2974" s="17"/>
      <c r="B2974" s="18" t="s">
        <v>2759</v>
      </c>
    </row>
    <row r="2975" customFormat="false" ht="13.5" hidden="false" customHeight="true" outlineLevel="0" collapsed="false">
      <c r="A2975" s="17"/>
      <c r="B2975" s="4" t="s">
        <v>2760</v>
      </c>
    </row>
    <row r="2976" customFormat="false" ht="13.5" hidden="false" customHeight="true" outlineLevel="0" collapsed="false">
      <c r="A2976" s="17"/>
      <c r="B2976" s="18" t="s">
        <v>2761</v>
      </c>
    </row>
    <row r="2977" customFormat="false" ht="13.5" hidden="false" customHeight="true" outlineLevel="0" collapsed="false">
      <c r="A2977" s="17"/>
      <c r="B2977" s="4" t="s">
        <v>2762</v>
      </c>
    </row>
    <row r="2978" customFormat="false" ht="13.5" hidden="false" customHeight="true" outlineLevel="0" collapsed="false">
      <c r="A2978" s="17"/>
      <c r="B2978" s="18" t="s">
        <v>2763</v>
      </c>
    </row>
    <row r="2979" customFormat="false" ht="27.75" hidden="false" customHeight="true" outlineLevel="0" collapsed="false">
      <c r="A2979" s="17"/>
      <c r="B2979" s="4" t="s">
        <v>2764</v>
      </c>
    </row>
    <row r="2980" customFormat="false" ht="13.5" hidden="false" customHeight="true" outlineLevel="0" collapsed="false">
      <c r="A2980" s="17"/>
      <c r="B2980" s="18" t="s">
        <v>2765</v>
      </c>
    </row>
    <row r="2981" customFormat="false" ht="13.5" hidden="false" customHeight="true" outlineLevel="0" collapsed="false">
      <c r="A2981" s="17"/>
      <c r="B2981" s="4" t="s">
        <v>2766</v>
      </c>
    </row>
    <row r="2982" customFormat="false" ht="13.5" hidden="false" customHeight="true" outlineLevel="0" collapsed="false">
      <c r="A2982" s="17"/>
      <c r="B2982" s="18" t="s">
        <v>2767</v>
      </c>
    </row>
    <row r="2983" customFormat="false" ht="13.5" hidden="false" customHeight="true" outlineLevel="0" collapsed="false">
      <c r="A2983" s="17"/>
      <c r="B2983" s="4" t="s">
        <v>2768</v>
      </c>
    </row>
    <row r="2984" customFormat="false" ht="13.5" hidden="false" customHeight="true" outlineLevel="0" collapsed="false">
      <c r="A2984" s="17"/>
      <c r="B2984" s="18" t="s">
        <v>2769</v>
      </c>
    </row>
    <row r="2985" customFormat="false" ht="13.5" hidden="false" customHeight="true" outlineLevel="0" collapsed="false">
      <c r="A2985" s="17"/>
      <c r="B2985" s="4" t="s">
        <v>2770</v>
      </c>
    </row>
    <row r="2986" customFormat="false" ht="13.5" hidden="false" customHeight="true" outlineLevel="0" collapsed="false">
      <c r="A2986" s="17"/>
      <c r="B2986" s="18" t="s">
        <v>2771</v>
      </c>
    </row>
    <row r="2989" customFormat="false" ht="15" hidden="false" customHeight="false" outlineLevel="0" collapsed="false">
      <c r="A2989" s="15" t="s">
        <v>401</v>
      </c>
      <c r="B2989" s="15" t="s">
        <v>2772</v>
      </c>
    </row>
    <row r="2990" customFormat="false" ht="15" hidden="false" customHeight="false" outlineLevel="0" collapsed="false">
      <c r="B2990" s="16" t="str">
        <f aca="false">HYPERLINK("#Label!G136","← Back to label (row 136)")</f>
        <v>← Back to label (row 136)</v>
      </c>
    </row>
    <row r="2991" customFormat="false" ht="13.5" hidden="false" customHeight="true" outlineLevel="0" collapsed="false">
      <c r="A2991" s="17" t="s">
        <v>24</v>
      </c>
      <c r="B2991" s="18" t="s">
        <v>59</v>
      </c>
    </row>
    <row r="2992" customFormat="false" ht="13.5" hidden="false" customHeight="true" outlineLevel="0" collapsed="false">
      <c r="A2992" s="17" t="s">
        <v>450</v>
      </c>
      <c r="B2992" s="4" t="s">
        <v>2773</v>
      </c>
    </row>
    <row r="2993" customFormat="false" ht="13.5" hidden="false" customHeight="true" outlineLevel="0" collapsed="false">
      <c r="A2993" s="17" t="s">
        <v>452</v>
      </c>
      <c r="B2993" s="18" t="s">
        <v>2774</v>
      </c>
    </row>
    <row r="2994" customFormat="false" ht="168" hidden="false" customHeight="true" outlineLevel="0" collapsed="false">
      <c r="A2994" s="17" t="s">
        <v>454</v>
      </c>
      <c r="B2994" s="4" t="s">
        <v>2775</v>
      </c>
    </row>
    <row r="2995" customFormat="false" ht="13.5" hidden="false" customHeight="true" outlineLevel="0" collapsed="false">
      <c r="A2995" s="17" t="s">
        <v>456</v>
      </c>
      <c r="B2995" s="19" t="s">
        <v>457</v>
      </c>
    </row>
    <row r="2996" customFormat="false" ht="13.5" hidden="false" customHeight="true" outlineLevel="0" collapsed="false">
      <c r="A2996" s="17" t="s">
        <v>2776</v>
      </c>
      <c r="B2996" s="4" t="s">
        <v>2777</v>
      </c>
    </row>
    <row r="2997" customFormat="false" ht="13.5" hidden="false" customHeight="true" outlineLevel="0" collapsed="false">
      <c r="A2997" s="17"/>
      <c r="B2997" s="18" t="s">
        <v>2778</v>
      </c>
    </row>
    <row r="2998" customFormat="false" ht="13.5" hidden="false" customHeight="true" outlineLevel="0" collapsed="false">
      <c r="A2998" s="17"/>
      <c r="B2998" s="4" t="s">
        <v>2779</v>
      </c>
    </row>
    <row r="2999" customFormat="false" ht="13.5" hidden="false" customHeight="true" outlineLevel="0" collapsed="false">
      <c r="A2999" s="17"/>
      <c r="B2999" s="18" t="s">
        <v>2780</v>
      </c>
    </row>
    <row r="3000" customFormat="false" ht="13.5" hidden="false" customHeight="true" outlineLevel="0" collapsed="false">
      <c r="A3000" s="17"/>
      <c r="B3000" s="4" t="s">
        <v>2781</v>
      </c>
    </row>
    <row r="3001" customFormat="false" ht="13.5" hidden="false" customHeight="true" outlineLevel="0" collapsed="false">
      <c r="A3001" s="17"/>
      <c r="B3001" s="18" t="s">
        <v>2782</v>
      </c>
    </row>
    <row r="3002" customFormat="false" ht="13.5" hidden="false" customHeight="true" outlineLevel="0" collapsed="false">
      <c r="A3002" s="17"/>
      <c r="B3002" s="4" t="s">
        <v>2783</v>
      </c>
    </row>
    <row r="3003" customFormat="false" ht="13.5" hidden="false" customHeight="true" outlineLevel="0" collapsed="false">
      <c r="A3003" s="17"/>
      <c r="B3003" s="18" t="s">
        <v>2784</v>
      </c>
    </row>
    <row r="3004" customFormat="false" ht="13.5" hidden="false" customHeight="true" outlineLevel="0" collapsed="false">
      <c r="A3004" s="17"/>
      <c r="B3004" s="4" t="s">
        <v>2785</v>
      </c>
    </row>
    <row r="3005" customFormat="false" ht="27.75" hidden="false" customHeight="true" outlineLevel="0" collapsed="false">
      <c r="A3005" s="17"/>
      <c r="B3005" s="18" t="s">
        <v>2786</v>
      </c>
    </row>
    <row r="3006" customFormat="false" ht="13.5" hidden="false" customHeight="true" outlineLevel="0" collapsed="false">
      <c r="A3006" s="17"/>
      <c r="B3006" s="4" t="s">
        <v>2787</v>
      </c>
    </row>
    <row r="3007" customFormat="false" ht="13.5" hidden="false" customHeight="true" outlineLevel="0" collapsed="false">
      <c r="A3007" s="17"/>
      <c r="B3007" s="18" t="s">
        <v>2788</v>
      </c>
    </row>
    <row r="3008" customFormat="false" ht="13.5" hidden="false" customHeight="true" outlineLevel="0" collapsed="false">
      <c r="A3008" s="17"/>
      <c r="B3008" s="4" t="s">
        <v>2789</v>
      </c>
    </row>
    <row r="3009" customFormat="false" ht="13.5" hidden="false" customHeight="true" outlineLevel="0" collapsed="false">
      <c r="A3009" s="17"/>
      <c r="B3009" s="18" t="s">
        <v>2790</v>
      </c>
    </row>
    <row r="3010" customFormat="false" ht="13.5" hidden="false" customHeight="true" outlineLevel="0" collapsed="false">
      <c r="A3010" s="17"/>
      <c r="B3010" s="4" t="s">
        <v>2791</v>
      </c>
    </row>
    <row r="3011" customFormat="false" ht="13.5" hidden="false" customHeight="true" outlineLevel="0" collapsed="false">
      <c r="A3011" s="17"/>
      <c r="B3011" s="18" t="s">
        <v>2792</v>
      </c>
    </row>
    <row r="3012" customFormat="false" ht="13.5" hidden="false" customHeight="true" outlineLevel="0" collapsed="false">
      <c r="A3012" s="17"/>
      <c r="B3012" s="4" t="s">
        <v>2793</v>
      </c>
    </row>
    <row r="3013" customFormat="false" ht="13.5" hidden="false" customHeight="true" outlineLevel="0" collapsed="false">
      <c r="A3013" s="17"/>
      <c r="B3013" s="18" t="s">
        <v>2794</v>
      </c>
    </row>
    <row r="3014" customFormat="false" ht="13.5" hidden="false" customHeight="true" outlineLevel="0" collapsed="false">
      <c r="A3014" s="17"/>
      <c r="B3014" s="4" t="s">
        <v>2795</v>
      </c>
    </row>
    <row r="3015" customFormat="false" ht="13.5" hidden="false" customHeight="true" outlineLevel="0" collapsed="false">
      <c r="A3015" s="17"/>
      <c r="B3015" s="18" t="s">
        <v>2796</v>
      </c>
    </row>
    <row r="3016" customFormat="false" ht="13.5" hidden="false" customHeight="true" outlineLevel="0" collapsed="false">
      <c r="A3016" s="17"/>
      <c r="B3016" s="4" t="s">
        <v>2797</v>
      </c>
    </row>
    <row r="3017" customFormat="false" ht="13.5" hidden="false" customHeight="true" outlineLevel="0" collapsed="false">
      <c r="A3017" s="17"/>
      <c r="B3017" s="18" t="s">
        <v>2798</v>
      </c>
    </row>
    <row r="3018" customFormat="false" ht="13.5" hidden="false" customHeight="true" outlineLevel="0" collapsed="false">
      <c r="A3018" s="17"/>
      <c r="B3018" s="4" t="s">
        <v>2799</v>
      </c>
    </row>
    <row r="3019" customFormat="false" ht="13.5" hidden="false" customHeight="true" outlineLevel="0" collapsed="false">
      <c r="A3019" s="17"/>
      <c r="B3019" s="18" t="s">
        <v>2800</v>
      </c>
    </row>
    <row r="3020" customFormat="false" ht="13.5" hidden="false" customHeight="true" outlineLevel="0" collapsed="false">
      <c r="A3020" s="17"/>
      <c r="B3020" s="4" t="s">
        <v>2801</v>
      </c>
    </row>
    <row r="3021" customFormat="false" ht="13.5" hidden="false" customHeight="true" outlineLevel="0" collapsed="false">
      <c r="A3021" s="17"/>
      <c r="B3021" s="18" t="s">
        <v>2802</v>
      </c>
    </row>
    <row r="3022" customFormat="false" ht="13.5" hidden="false" customHeight="true" outlineLevel="0" collapsed="false">
      <c r="A3022" s="17"/>
      <c r="B3022" s="4" t="s">
        <v>2803</v>
      </c>
    </row>
    <row r="3023" customFormat="false" ht="13.5" hidden="false" customHeight="true" outlineLevel="0" collapsed="false">
      <c r="A3023" s="17"/>
      <c r="B3023" s="18" t="s">
        <v>2804</v>
      </c>
    </row>
    <row r="3024" customFormat="false" ht="13.5" hidden="false" customHeight="true" outlineLevel="0" collapsed="false">
      <c r="A3024" s="17"/>
      <c r="B3024" s="4" t="s">
        <v>2805</v>
      </c>
    </row>
    <row r="3025" customFormat="false" ht="13.5" hidden="false" customHeight="true" outlineLevel="0" collapsed="false">
      <c r="A3025" s="17"/>
      <c r="B3025" s="18" t="s">
        <v>2806</v>
      </c>
    </row>
    <row r="3026" customFormat="false" ht="13.5" hidden="false" customHeight="true" outlineLevel="0" collapsed="false">
      <c r="A3026" s="17"/>
      <c r="B3026" s="4" t="s">
        <v>2807</v>
      </c>
    </row>
    <row r="3027" customFormat="false" ht="13.5" hidden="false" customHeight="true" outlineLevel="0" collapsed="false">
      <c r="A3027" s="17"/>
      <c r="B3027" s="18" t="s">
        <v>2808</v>
      </c>
    </row>
    <row r="3028" customFormat="false" ht="13.5" hidden="false" customHeight="true" outlineLevel="0" collapsed="false">
      <c r="A3028" s="17"/>
      <c r="B3028" s="4" t="s">
        <v>2809</v>
      </c>
    </row>
    <row r="3029" customFormat="false" ht="13.5" hidden="false" customHeight="true" outlineLevel="0" collapsed="false">
      <c r="A3029" s="17"/>
      <c r="B3029" s="18" t="s">
        <v>2810</v>
      </c>
    </row>
    <row r="3030" customFormat="false" ht="27.75" hidden="false" customHeight="true" outlineLevel="0" collapsed="false">
      <c r="A3030" s="17"/>
      <c r="B3030" s="4" t="s">
        <v>2811</v>
      </c>
    </row>
    <row r="3031" customFormat="false" ht="13.5" hidden="false" customHeight="true" outlineLevel="0" collapsed="false">
      <c r="A3031" s="17"/>
      <c r="B3031" s="18" t="s">
        <v>2812</v>
      </c>
    </row>
    <row r="3032" customFormat="false" ht="13.5" hidden="false" customHeight="true" outlineLevel="0" collapsed="false">
      <c r="A3032" s="17"/>
      <c r="B3032" s="4" t="s">
        <v>2813</v>
      </c>
    </row>
    <row r="3033" customFormat="false" ht="13.5" hidden="false" customHeight="true" outlineLevel="0" collapsed="false">
      <c r="A3033" s="17"/>
      <c r="B3033" s="18" t="s">
        <v>2814</v>
      </c>
    </row>
    <row r="3034" customFormat="false" ht="13.5" hidden="false" customHeight="true" outlineLevel="0" collapsed="false">
      <c r="A3034" s="17"/>
      <c r="B3034" s="4" t="s">
        <v>2815</v>
      </c>
    </row>
    <row r="3035" customFormat="false" ht="13.5" hidden="false" customHeight="true" outlineLevel="0" collapsed="false">
      <c r="A3035" s="17"/>
      <c r="B3035" s="18" t="s">
        <v>2816</v>
      </c>
    </row>
    <row r="3036" customFormat="false" ht="13.5" hidden="false" customHeight="true" outlineLevel="0" collapsed="false">
      <c r="A3036" s="17"/>
      <c r="B3036" s="4" t="s">
        <v>2817</v>
      </c>
    </row>
    <row r="3037" customFormat="false" ht="13.5" hidden="false" customHeight="true" outlineLevel="0" collapsed="false">
      <c r="A3037" s="17"/>
      <c r="B3037" s="18" t="s">
        <v>2818</v>
      </c>
    </row>
    <row r="3038" customFormat="false" ht="13.5" hidden="false" customHeight="true" outlineLevel="0" collapsed="false">
      <c r="A3038" s="17"/>
      <c r="B3038" s="4" t="s">
        <v>2819</v>
      </c>
    </row>
    <row r="3039" customFormat="false" ht="13.5" hidden="false" customHeight="true" outlineLevel="0" collapsed="false">
      <c r="A3039" s="17"/>
      <c r="B3039" s="18" t="s">
        <v>2820</v>
      </c>
    </row>
    <row r="3040" customFormat="false" ht="13.5" hidden="false" customHeight="true" outlineLevel="0" collapsed="false">
      <c r="A3040" s="17"/>
      <c r="B3040" s="4" t="s">
        <v>2821</v>
      </c>
    </row>
    <row r="3041" customFormat="false" ht="13.5" hidden="false" customHeight="true" outlineLevel="0" collapsed="false">
      <c r="A3041" s="17"/>
      <c r="B3041" s="18" t="s">
        <v>2822</v>
      </c>
    </row>
    <row r="3044" customFormat="false" ht="15" hidden="false" customHeight="false" outlineLevel="0" collapsed="false">
      <c r="A3044" s="15" t="s">
        <v>403</v>
      </c>
      <c r="B3044" s="15" t="s">
        <v>2823</v>
      </c>
    </row>
    <row r="3045" customFormat="false" ht="15" hidden="false" customHeight="false" outlineLevel="0" collapsed="false">
      <c r="B3045" s="16" t="str">
        <f aca="false">HYPERLINK("#Label!G137","← Back to label (row 137)")</f>
        <v>← Back to label (row 137)</v>
      </c>
    </row>
    <row r="3046" customFormat="false" ht="55.5" hidden="false" customHeight="true" outlineLevel="0" collapsed="false">
      <c r="A3046" s="17" t="s">
        <v>24</v>
      </c>
      <c r="B3046" s="18" t="s">
        <v>2824</v>
      </c>
    </row>
    <row r="3047" customFormat="false" ht="13.5" hidden="false" customHeight="true" outlineLevel="0" collapsed="false">
      <c r="A3047" s="17" t="s">
        <v>450</v>
      </c>
      <c r="B3047" s="4" t="s">
        <v>2825</v>
      </c>
    </row>
    <row r="3048" customFormat="false" ht="13.5" hidden="false" customHeight="true" outlineLevel="0" collapsed="false">
      <c r="A3048" s="17" t="s">
        <v>452</v>
      </c>
      <c r="B3048" s="18" t="s">
        <v>2826</v>
      </c>
    </row>
    <row r="3049" customFormat="false" ht="69.75" hidden="false" customHeight="true" outlineLevel="0" collapsed="false">
      <c r="A3049" s="17" t="s">
        <v>454</v>
      </c>
      <c r="B3049" s="4" t="s">
        <v>2827</v>
      </c>
    </row>
    <row r="3050" customFormat="false" ht="13.5" hidden="false" customHeight="true" outlineLevel="0" collapsed="false">
      <c r="A3050" s="17" t="s">
        <v>456</v>
      </c>
      <c r="B3050" s="19" t="s">
        <v>457</v>
      </c>
    </row>
    <row r="3051" customFormat="false" ht="13.5" hidden="false" customHeight="true" outlineLevel="0" collapsed="false">
      <c r="A3051" s="17" t="s">
        <v>508</v>
      </c>
      <c r="B3051" s="20" t="s">
        <v>509</v>
      </c>
    </row>
    <row r="3054" customFormat="false" ht="15" hidden="false" customHeight="false" outlineLevel="0" collapsed="false">
      <c r="A3054" s="15" t="s">
        <v>407</v>
      </c>
      <c r="B3054" s="15" t="s">
        <v>2828</v>
      </c>
    </row>
    <row r="3055" customFormat="false" ht="15" hidden="false" customHeight="false" outlineLevel="0" collapsed="false">
      <c r="B3055" s="16" t="str">
        <f aca="false">HYPERLINK("#Label!G138","← Back to label (row 138)")</f>
        <v>← Back to label (row 138)</v>
      </c>
    </row>
    <row r="3056" customFormat="false" ht="13.5" hidden="false" customHeight="true" outlineLevel="0" collapsed="false">
      <c r="A3056" s="17" t="s">
        <v>24</v>
      </c>
      <c r="B3056" s="18" t="s">
        <v>59</v>
      </c>
    </row>
    <row r="3057" customFormat="false" ht="13.5" hidden="false" customHeight="true" outlineLevel="0" collapsed="false">
      <c r="A3057" s="17" t="s">
        <v>450</v>
      </c>
      <c r="B3057" s="4" t="s">
        <v>2829</v>
      </c>
    </row>
    <row r="3058" customFormat="false" ht="13.5" hidden="false" customHeight="true" outlineLevel="0" collapsed="false">
      <c r="A3058" s="17" t="s">
        <v>452</v>
      </c>
      <c r="B3058" s="18" t="s">
        <v>2830</v>
      </c>
    </row>
    <row r="3059" customFormat="false" ht="13.5" hidden="false" customHeight="true" outlineLevel="0" collapsed="false">
      <c r="A3059" s="17" t="s">
        <v>454</v>
      </c>
      <c r="B3059" s="20" t="s">
        <v>486</v>
      </c>
    </row>
    <row r="3060" customFormat="false" ht="13.5" hidden="false" customHeight="true" outlineLevel="0" collapsed="false">
      <c r="A3060" s="17" t="s">
        <v>456</v>
      </c>
      <c r="B3060" s="19" t="s">
        <v>457</v>
      </c>
    </row>
    <row r="3061" customFormat="false" ht="13.5" hidden="false" customHeight="true" outlineLevel="0" collapsed="false">
      <c r="A3061" s="17" t="s">
        <v>1160</v>
      </c>
      <c r="B3061" s="4" t="s">
        <v>2831</v>
      </c>
    </row>
    <row r="3062" customFormat="false" ht="13.5" hidden="false" customHeight="true" outlineLevel="0" collapsed="false">
      <c r="A3062" s="17"/>
      <c r="B3062" s="18" t="s">
        <v>2832</v>
      </c>
    </row>
    <row r="3063" customFormat="false" ht="13.5" hidden="false" customHeight="true" outlineLevel="0" collapsed="false">
      <c r="A3063" s="17"/>
      <c r="B3063" s="4" t="s">
        <v>2833</v>
      </c>
    </row>
    <row r="3064" customFormat="false" ht="13.5" hidden="false" customHeight="true" outlineLevel="0" collapsed="false">
      <c r="A3064" s="17"/>
      <c r="B3064" s="18" t="s">
        <v>2834</v>
      </c>
    </row>
    <row r="3065" customFormat="false" ht="27.75" hidden="false" customHeight="true" outlineLevel="0" collapsed="false">
      <c r="A3065" s="17"/>
      <c r="B3065" s="4" t="s">
        <v>2835</v>
      </c>
    </row>
    <row r="3066" customFormat="false" ht="13.5" hidden="false" customHeight="true" outlineLevel="0" collapsed="false">
      <c r="A3066" s="17"/>
      <c r="B3066" s="18" t="s">
        <v>2836</v>
      </c>
    </row>
    <row r="3067" customFormat="false" ht="13.5" hidden="false" customHeight="true" outlineLevel="0" collapsed="false">
      <c r="A3067" s="17"/>
      <c r="B3067" s="4" t="s">
        <v>2837</v>
      </c>
    </row>
    <row r="3068" customFormat="false" ht="27.75" hidden="false" customHeight="true" outlineLevel="0" collapsed="false">
      <c r="A3068" s="17"/>
      <c r="B3068" s="18" t="s">
        <v>2838</v>
      </c>
    </row>
    <row r="3069" customFormat="false" ht="27.75" hidden="false" customHeight="true" outlineLevel="0" collapsed="false">
      <c r="A3069" s="17"/>
      <c r="B3069" s="4" t="s">
        <v>2839</v>
      </c>
    </row>
    <row r="3070" customFormat="false" ht="13.5" hidden="false" customHeight="true" outlineLevel="0" collapsed="false">
      <c r="A3070" s="17"/>
      <c r="B3070" s="18" t="s">
        <v>2840</v>
      </c>
    </row>
    <row r="3071" customFormat="false" ht="13.5" hidden="false" customHeight="true" outlineLevel="0" collapsed="false">
      <c r="A3071" s="17"/>
      <c r="B3071" s="4" t="s">
        <v>2841</v>
      </c>
    </row>
    <row r="3072" customFormat="false" ht="13.5" hidden="false" customHeight="true" outlineLevel="0" collapsed="false">
      <c r="A3072" s="17"/>
      <c r="B3072" s="18" t="s">
        <v>2842</v>
      </c>
    </row>
    <row r="3073" customFormat="false" ht="13.5" hidden="false" customHeight="true" outlineLevel="0" collapsed="false">
      <c r="A3073" s="17"/>
      <c r="B3073" s="4" t="s">
        <v>2843</v>
      </c>
    </row>
    <row r="3074" customFormat="false" ht="13.5" hidden="false" customHeight="true" outlineLevel="0" collapsed="false">
      <c r="A3074" s="17"/>
      <c r="B3074" s="18" t="s">
        <v>2844</v>
      </c>
    </row>
    <row r="3075" customFormat="false" ht="13.5" hidden="false" customHeight="true" outlineLevel="0" collapsed="false">
      <c r="A3075" s="17"/>
      <c r="B3075" s="4" t="s">
        <v>2845</v>
      </c>
    </row>
    <row r="3076" customFormat="false" ht="13.5" hidden="false" customHeight="true" outlineLevel="0" collapsed="false">
      <c r="A3076" s="17"/>
      <c r="B3076" s="18" t="s">
        <v>2846</v>
      </c>
    </row>
    <row r="3077" customFormat="false" ht="13.5" hidden="false" customHeight="true" outlineLevel="0" collapsed="false">
      <c r="A3077" s="17"/>
      <c r="B3077" s="4" t="s">
        <v>2847</v>
      </c>
    </row>
    <row r="3078" customFormat="false" ht="13.5" hidden="false" customHeight="true" outlineLevel="0" collapsed="false">
      <c r="A3078" s="17"/>
      <c r="B3078" s="18" t="s">
        <v>2848</v>
      </c>
    </row>
    <row r="3079" customFormat="false" ht="13.5" hidden="false" customHeight="true" outlineLevel="0" collapsed="false">
      <c r="A3079" s="17"/>
      <c r="B3079" s="4" t="s">
        <v>2849</v>
      </c>
    </row>
    <row r="3082" customFormat="false" ht="15" hidden="false" customHeight="false" outlineLevel="0" collapsed="false">
      <c r="A3082" s="15" t="s">
        <v>409</v>
      </c>
      <c r="B3082" s="15" t="s">
        <v>2850</v>
      </c>
    </row>
    <row r="3083" customFormat="false" ht="15" hidden="false" customHeight="false" outlineLevel="0" collapsed="false">
      <c r="B3083" s="16" t="str">
        <f aca="false">HYPERLINK("#Label!G139","← Back to label (row 139)")</f>
        <v>← Back to label (row 139)</v>
      </c>
    </row>
    <row r="3084" customFormat="false" ht="13.5" hidden="false" customHeight="true" outlineLevel="0" collapsed="false">
      <c r="A3084" s="17" t="s">
        <v>24</v>
      </c>
      <c r="B3084" s="18" t="s">
        <v>220</v>
      </c>
    </row>
    <row r="3085" customFormat="false" ht="13.5" hidden="false" customHeight="true" outlineLevel="0" collapsed="false">
      <c r="A3085" s="17" t="s">
        <v>450</v>
      </c>
      <c r="B3085" s="4" t="s">
        <v>2851</v>
      </c>
    </row>
    <row r="3086" customFormat="false" ht="13.5" hidden="false" customHeight="true" outlineLevel="0" collapsed="false">
      <c r="A3086" s="17" t="s">
        <v>452</v>
      </c>
      <c r="B3086" s="18" t="s">
        <v>2852</v>
      </c>
    </row>
    <row r="3087" customFormat="false" ht="168" hidden="false" customHeight="true" outlineLevel="0" collapsed="false">
      <c r="A3087" s="17" t="s">
        <v>454</v>
      </c>
      <c r="B3087" s="4" t="s">
        <v>2853</v>
      </c>
    </row>
    <row r="3088" customFormat="false" ht="13.5" hidden="false" customHeight="true" outlineLevel="0" collapsed="false">
      <c r="A3088" s="17" t="s">
        <v>456</v>
      </c>
      <c r="B3088" s="19" t="s">
        <v>457</v>
      </c>
    </row>
    <row r="3089" customFormat="false" ht="13.5" hidden="false" customHeight="true" outlineLevel="0" collapsed="false">
      <c r="A3089" s="17" t="s">
        <v>487</v>
      </c>
      <c r="B3089" s="4" t="s">
        <v>2854</v>
      </c>
    </row>
    <row r="3090" customFormat="false" ht="13.5" hidden="false" customHeight="true" outlineLevel="0" collapsed="false">
      <c r="A3090" s="17"/>
      <c r="B3090" s="18" t="s">
        <v>2855</v>
      </c>
    </row>
    <row r="3091" customFormat="false" ht="13.5" hidden="false" customHeight="true" outlineLevel="0" collapsed="false">
      <c r="A3091" s="17"/>
      <c r="B3091" s="4" t="s">
        <v>2856</v>
      </c>
    </row>
    <row r="3092" customFormat="false" ht="13.5" hidden="false" customHeight="true" outlineLevel="0" collapsed="false">
      <c r="A3092" s="17"/>
      <c r="B3092" s="18" t="s">
        <v>2857</v>
      </c>
    </row>
    <row r="3093" customFormat="false" ht="13.5" hidden="false" customHeight="true" outlineLevel="0" collapsed="false">
      <c r="A3093" s="17"/>
      <c r="B3093" s="4" t="s">
        <v>2858</v>
      </c>
    </row>
    <row r="3094" customFormat="false" ht="13.5" hidden="false" customHeight="true" outlineLevel="0" collapsed="false">
      <c r="A3094" s="17"/>
      <c r="B3094" s="18" t="s">
        <v>2859</v>
      </c>
    </row>
    <row r="3095" customFormat="false" ht="13.5" hidden="false" customHeight="true" outlineLevel="0" collapsed="false">
      <c r="A3095" s="17"/>
      <c r="B3095" s="4" t="s">
        <v>2860</v>
      </c>
    </row>
    <row r="3096" customFormat="false" ht="13.5" hidden="false" customHeight="true" outlineLevel="0" collapsed="false">
      <c r="A3096" s="17"/>
      <c r="B3096" s="18" t="s">
        <v>2861</v>
      </c>
    </row>
    <row r="3097" customFormat="false" ht="13.5" hidden="false" customHeight="true" outlineLevel="0" collapsed="false">
      <c r="A3097" s="17"/>
      <c r="B3097" s="4" t="s">
        <v>2862</v>
      </c>
    </row>
    <row r="3098" customFormat="false" ht="13.5" hidden="false" customHeight="true" outlineLevel="0" collapsed="false">
      <c r="A3098" s="17"/>
      <c r="B3098" s="18" t="s">
        <v>2863</v>
      </c>
    </row>
    <row r="3101" customFormat="false" ht="15" hidden="false" customHeight="false" outlineLevel="0" collapsed="false">
      <c r="A3101" s="15" t="s">
        <v>411</v>
      </c>
      <c r="B3101" s="15" t="s">
        <v>2864</v>
      </c>
    </row>
    <row r="3102" customFormat="false" ht="15" hidden="false" customHeight="false" outlineLevel="0" collapsed="false">
      <c r="B3102" s="16" t="str">
        <f aca="false">HYPERLINK("#Label!G140","← Back to label (row 140)")</f>
        <v>← Back to label (row 140)</v>
      </c>
    </row>
    <row r="3103" customFormat="false" ht="42" hidden="false" customHeight="true" outlineLevel="0" collapsed="false">
      <c r="A3103" s="17" t="s">
        <v>24</v>
      </c>
      <c r="B3103" s="18" t="s">
        <v>413</v>
      </c>
    </row>
    <row r="3104" customFormat="false" ht="13.5" hidden="false" customHeight="true" outlineLevel="0" collapsed="false">
      <c r="A3104" s="17" t="s">
        <v>450</v>
      </c>
      <c r="B3104" s="4" t="s">
        <v>2865</v>
      </c>
    </row>
    <row r="3105" customFormat="false" ht="13.5" hidden="false" customHeight="true" outlineLevel="0" collapsed="false">
      <c r="A3105" s="17" t="s">
        <v>454</v>
      </c>
      <c r="B3105" s="19" t="s">
        <v>486</v>
      </c>
    </row>
    <row r="3106" customFormat="false" ht="13.5" hidden="false" customHeight="true" outlineLevel="0" collapsed="false">
      <c r="A3106" s="17" t="s">
        <v>456</v>
      </c>
      <c r="B3106" s="20" t="s">
        <v>457</v>
      </c>
    </row>
    <row r="3107" customFormat="false" ht="13.5" hidden="false" customHeight="true" outlineLevel="0" collapsed="false">
      <c r="A3107" s="17" t="s">
        <v>1195</v>
      </c>
      <c r="B3107" s="18" t="s">
        <v>2866</v>
      </c>
    </row>
    <row r="3108" customFormat="false" ht="13.5" hidden="false" customHeight="true" outlineLevel="0" collapsed="false">
      <c r="A3108" s="17"/>
      <c r="B3108" s="4" t="s">
        <v>2867</v>
      </c>
    </row>
    <row r="3109" customFormat="false" ht="27.75" hidden="false" customHeight="true" outlineLevel="0" collapsed="false">
      <c r="A3109" s="17"/>
      <c r="B3109" s="18" t="s">
        <v>2868</v>
      </c>
    </row>
    <row r="3110" customFormat="false" ht="27.75" hidden="false" customHeight="true" outlineLevel="0" collapsed="false">
      <c r="A3110" s="17"/>
      <c r="B3110" s="4" t="s">
        <v>2869</v>
      </c>
    </row>
    <row r="3113" customFormat="false" ht="15" hidden="false" customHeight="false" outlineLevel="0" collapsed="false">
      <c r="A3113" s="15" t="s">
        <v>414</v>
      </c>
      <c r="B3113" s="15" t="s">
        <v>2870</v>
      </c>
    </row>
    <row r="3114" customFormat="false" ht="15" hidden="false" customHeight="false" outlineLevel="0" collapsed="false">
      <c r="B3114" s="16" t="str">
        <f aca="false">HYPERLINK("#Label!G141","← Back to label (row 141)")</f>
        <v>← Back to label (row 141)</v>
      </c>
    </row>
    <row r="3115" customFormat="false" ht="27.75" hidden="false" customHeight="true" outlineLevel="0" collapsed="false">
      <c r="A3115" s="17" t="s">
        <v>24</v>
      </c>
      <c r="B3115" s="18" t="s">
        <v>416</v>
      </c>
    </row>
    <row r="3116" customFormat="false" ht="13.5" hidden="false" customHeight="true" outlineLevel="0" collapsed="false">
      <c r="A3116" s="17" t="s">
        <v>450</v>
      </c>
      <c r="B3116" s="4" t="s">
        <v>2871</v>
      </c>
    </row>
    <row r="3117" customFormat="false" ht="13.5" hidden="false" customHeight="true" outlineLevel="0" collapsed="false">
      <c r="A3117" s="17" t="s">
        <v>452</v>
      </c>
      <c r="B3117" s="18" t="s">
        <v>2872</v>
      </c>
    </row>
    <row r="3118" customFormat="false" ht="42" hidden="false" customHeight="true" outlineLevel="0" collapsed="false">
      <c r="A3118" s="17" t="s">
        <v>454</v>
      </c>
      <c r="B3118" s="4" t="s">
        <v>2873</v>
      </c>
    </row>
    <row r="3119" customFormat="false" ht="13.5" hidden="false" customHeight="true" outlineLevel="0" collapsed="false">
      <c r="A3119" s="17" t="s">
        <v>456</v>
      </c>
      <c r="B3119" s="19" t="s">
        <v>457</v>
      </c>
    </row>
    <row r="3120" customFormat="false" ht="13.5" hidden="false" customHeight="true" outlineLevel="0" collapsed="false">
      <c r="A3120" s="17" t="s">
        <v>564</v>
      </c>
      <c r="B3120" s="4" t="s">
        <v>2874</v>
      </c>
    </row>
    <row r="3121" customFormat="false" ht="13.5" hidden="false" customHeight="true" outlineLevel="0" collapsed="false">
      <c r="A3121" s="17"/>
      <c r="B3121" s="18" t="s">
        <v>2875</v>
      </c>
    </row>
    <row r="3122" customFormat="false" ht="13.5" hidden="false" customHeight="true" outlineLevel="0" collapsed="false">
      <c r="A3122" s="17"/>
      <c r="B3122" s="4" t="s">
        <v>2876</v>
      </c>
    </row>
    <row r="3123" customFormat="false" ht="13.5" hidden="false" customHeight="true" outlineLevel="0" collapsed="false">
      <c r="A3123" s="17"/>
      <c r="B3123" s="18" t="s">
        <v>2877</v>
      </c>
    </row>
    <row r="3124" customFormat="false" ht="13.5" hidden="false" customHeight="true" outlineLevel="0" collapsed="false">
      <c r="A3124" s="17"/>
      <c r="B3124" s="4" t="s">
        <v>2878</v>
      </c>
    </row>
    <row r="3125" customFormat="false" ht="13.5" hidden="false" customHeight="true" outlineLevel="0" collapsed="false">
      <c r="A3125" s="17"/>
      <c r="B3125" s="18" t="s">
        <v>2879</v>
      </c>
    </row>
    <row r="3128" customFormat="false" ht="15" hidden="false" customHeight="false" outlineLevel="0" collapsed="false">
      <c r="A3128" s="15" t="s">
        <v>417</v>
      </c>
      <c r="B3128" s="15" t="s">
        <v>2880</v>
      </c>
    </row>
    <row r="3129" customFormat="false" ht="15" hidden="false" customHeight="false" outlineLevel="0" collapsed="false">
      <c r="B3129" s="16" t="str">
        <f aca="false">HYPERLINK("#Label!G142","← Back to label (row 142)")</f>
        <v>← Back to label (row 142)</v>
      </c>
    </row>
    <row r="3130" customFormat="false" ht="13.5" hidden="false" customHeight="true" outlineLevel="0" collapsed="false">
      <c r="A3130" s="17" t="s">
        <v>24</v>
      </c>
      <c r="B3130" s="18" t="s">
        <v>53</v>
      </c>
    </row>
    <row r="3131" customFormat="false" ht="13.5" hidden="false" customHeight="true" outlineLevel="0" collapsed="false">
      <c r="A3131" s="17" t="s">
        <v>450</v>
      </c>
      <c r="B3131" s="4" t="s">
        <v>2881</v>
      </c>
    </row>
    <row r="3132" customFormat="false" ht="13.5" hidden="false" customHeight="true" outlineLevel="0" collapsed="false">
      <c r="A3132" s="17" t="s">
        <v>452</v>
      </c>
      <c r="B3132" s="18" t="s">
        <v>2882</v>
      </c>
    </row>
    <row r="3133" customFormat="false" ht="139.5" hidden="false" customHeight="true" outlineLevel="0" collapsed="false">
      <c r="A3133" s="17" t="s">
        <v>454</v>
      </c>
      <c r="B3133" s="4" t="s">
        <v>2883</v>
      </c>
    </row>
    <row r="3134" customFormat="false" ht="13.5" hidden="false" customHeight="true" outlineLevel="0" collapsed="false">
      <c r="A3134" s="17" t="s">
        <v>456</v>
      </c>
      <c r="B3134" s="19" t="s">
        <v>457</v>
      </c>
    </row>
    <row r="3135" customFormat="false" ht="13.5" hidden="false" customHeight="true" outlineLevel="0" collapsed="false">
      <c r="A3135" s="17" t="s">
        <v>704</v>
      </c>
      <c r="B3135" s="4" t="s">
        <v>2884</v>
      </c>
    </row>
    <row r="3136" customFormat="false" ht="13.5" hidden="false" customHeight="true" outlineLevel="0" collapsed="false">
      <c r="A3136" s="17"/>
      <c r="B3136" s="18" t="s">
        <v>2885</v>
      </c>
    </row>
    <row r="3137" customFormat="false" ht="13.5" hidden="false" customHeight="true" outlineLevel="0" collapsed="false">
      <c r="A3137" s="17"/>
      <c r="B3137" s="4" t="s">
        <v>2886</v>
      </c>
    </row>
    <row r="3138" customFormat="false" ht="13.5" hidden="false" customHeight="true" outlineLevel="0" collapsed="false">
      <c r="A3138" s="17"/>
      <c r="B3138" s="18" t="s">
        <v>2887</v>
      </c>
    </row>
    <row r="3139" customFormat="false" ht="27.75" hidden="false" customHeight="true" outlineLevel="0" collapsed="false">
      <c r="A3139" s="17"/>
      <c r="B3139" s="4" t="s">
        <v>2888</v>
      </c>
    </row>
    <row r="3140" customFormat="false" ht="13.5" hidden="false" customHeight="true" outlineLevel="0" collapsed="false">
      <c r="A3140" s="17"/>
      <c r="B3140" s="18" t="s">
        <v>2889</v>
      </c>
    </row>
    <row r="3141" customFormat="false" ht="13.5" hidden="false" customHeight="true" outlineLevel="0" collapsed="false">
      <c r="A3141" s="17"/>
      <c r="B3141" s="4" t="s">
        <v>2890</v>
      </c>
    </row>
    <row r="3142" customFormat="false" ht="13.5" hidden="false" customHeight="true" outlineLevel="0" collapsed="false">
      <c r="A3142" s="17"/>
      <c r="B3142" s="18" t="s">
        <v>2891</v>
      </c>
    </row>
    <row r="3143" customFormat="false" ht="13.5" hidden="false" customHeight="true" outlineLevel="0" collapsed="false">
      <c r="A3143" s="17"/>
      <c r="B3143" s="4" t="s">
        <v>2892</v>
      </c>
    </row>
    <row r="3144" customFormat="false" ht="13.5" hidden="false" customHeight="true" outlineLevel="0" collapsed="false">
      <c r="A3144" s="17"/>
      <c r="B3144" s="18" t="s">
        <v>2893</v>
      </c>
    </row>
    <row r="3145" customFormat="false" ht="13.5" hidden="false" customHeight="true" outlineLevel="0" collapsed="false">
      <c r="A3145" s="17"/>
      <c r="B3145" s="4" t="s">
        <v>2894</v>
      </c>
    </row>
    <row r="3146" customFormat="false" ht="13.5" hidden="false" customHeight="true" outlineLevel="0" collapsed="false">
      <c r="A3146" s="17"/>
      <c r="B3146" s="18" t="s">
        <v>2895</v>
      </c>
    </row>
    <row r="3147" customFormat="false" ht="13.5" hidden="false" customHeight="true" outlineLevel="0" collapsed="false">
      <c r="A3147" s="17"/>
      <c r="B3147" s="4" t="s">
        <v>2896</v>
      </c>
    </row>
    <row r="3148" customFormat="false" ht="13.5" hidden="false" customHeight="true" outlineLevel="0" collapsed="false">
      <c r="A3148" s="17"/>
      <c r="B3148" s="18" t="s">
        <v>2897</v>
      </c>
    </row>
    <row r="3149" customFormat="false" ht="13.5" hidden="false" customHeight="true" outlineLevel="0" collapsed="false">
      <c r="A3149" s="17"/>
      <c r="B3149" s="4" t="s">
        <v>2898</v>
      </c>
    </row>
    <row r="3150" customFormat="false" ht="13.5" hidden="false" customHeight="true" outlineLevel="0" collapsed="false">
      <c r="A3150" s="17"/>
      <c r="B3150" s="18" t="s">
        <v>2899</v>
      </c>
    </row>
    <row r="3151" customFormat="false" ht="27.75" hidden="false" customHeight="true" outlineLevel="0" collapsed="false">
      <c r="A3151" s="17"/>
      <c r="B3151" s="4" t="s">
        <v>2900</v>
      </c>
    </row>
    <row r="3152" customFormat="false" ht="13.5" hidden="false" customHeight="true" outlineLevel="0" collapsed="false">
      <c r="A3152" s="17"/>
      <c r="B3152" s="18" t="s">
        <v>2901</v>
      </c>
    </row>
    <row r="3153" customFormat="false" ht="13.5" hidden="false" customHeight="true" outlineLevel="0" collapsed="false">
      <c r="A3153" s="17"/>
      <c r="B3153" s="4" t="s">
        <v>2902</v>
      </c>
    </row>
    <row r="3154" customFormat="false" ht="13.5" hidden="false" customHeight="true" outlineLevel="0" collapsed="false">
      <c r="A3154" s="17"/>
      <c r="B3154" s="18" t="s">
        <v>2903</v>
      </c>
    </row>
    <row r="3155" customFormat="false" ht="13.5" hidden="false" customHeight="true" outlineLevel="0" collapsed="false">
      <c r="A3155" s="17"/>
      <c r="B3155" s="4" t="s">
        <v>2904</v>
      </c>
    </row>
    <row r="3158" customFormat="false" ht="15" hidden="false" customHeight="false" outlineLevel="0" collapsed="false">
      <c r="A3158" s="15" t="s">
        <v>419</v>
      </c>
      <c r="B3158" s="15" t="s">
        <v>2905</v>
      </c>
    </row>
    <row r="3159" customFormat="false" ht="15" hidden="false" customHeight="false" outlineLevel="0" collapsed="false">
      <c r="B3159" s="16" t="str">
        <f aca="false">HYPERLINK("#Label!G143","← Back to label (row 143)")</f>
        <v>← Back to label (row 143)</v>
      </c>
    </row>
    <row r="3160" customFormat="false" ht="13.5" hidden="false" customHeight="true" outlineLevel="0" collapsed="false">
      <c r="A3160" s="17" t="s">
        <v>24</v>
      </c>
      <c r="B3160" s="18" t="s">
        <v>49</v>
      </c>
    </row>
    <row r="3161" customFormat="false" ht="13.5" hidden="false" customHeight="true" outlineLevel="0" collapsed="false">
      <c r="A3161" s="17" t="s">
        <v>450</v>
      </c>
      <c r="B3161" s="4" t="s">
        <v>2906</v>
      </c>
    </row>
    <row r="3162" customFormat="false" ht="13.5" hidden="false" customHeight="true" outlineLevel="0" collapsed="false">
      <c r="A3162" s="17" t="s">
        <v>454</v>
      </c>
      <c r="B3162" s="19" t="s">
        <v>486</v>
      </c>
    </row>
    <row r="3163" customFormat="false" ht="13.5" hidden="false" customHeight="true" outlineLevel="0" collapsed="false">
      <c r="A3163" s="17" t="s">
        <v>456</v>
      </c>
      <c r="B3163" s="20" t="s">
        <v>457</v>
      </c>
    </row>
    <row r="3164" customFormat="false" ht="27.75" hidden="false" customHeight="true" outlineLevel="0" collapsed="false">
      <c r="A3164" s="17" t="s">
        <v>514</v>
      </c>
      <c r="B3164" s="18" t="s">
        <v>2907</v>
      </c>
    </row>
    <row r="3165" customFormat="false" ht="27.75" hidden="false" customHeight="true" outlineLevel="0" collapsed="false">
      <c r="A3165" s="17"/>
      <c r="B3165" s="4" t="s">
        <v>2908</v>
      </c>
    </row>
    <row r="3168" customFormat="false" ht="15" hidden="false" customHeight="false" outlineLevel="0" collapsed="false">
      <c r="A3168" s="15" t="s">
        <v>421</v>
      </c>
      <c r="B3168" s="15" t="s">
        <v>2909</v>
      </c>
    </row>
    <row r="3169" customFormat="false" ht="15" hidden="false" customHeight="false" outlineLevel="0" collapsed="false">
      <c r="B3169" s="16" t="str">
        <f aca="false">HYPERLINK("#Label!G144","← Back to label (row 144)")</f>
        <v>← Back to label (row 144)</v>
      </c>
    </row>
    <row r="3170" customFormat="false" ht="13.5" hidden="false" customHeight="true" outlineLevel="0" collapsed="false">
      <c r="A3170" s="17" t="s">
        <v>24</v>
      </c>
      <c r="B3170" s="18" t="s">
        <v>71</v>
      </c>
    </row>
    <row r="3171" customFormat="false" ht="13.5" hidden="false" customHeight="true" outlineLevel="0" collapsed="false">
      <c r="A3171" s="17" t="s">
        <v>450</v>
      </c>
      <c r="B3171" s="4" t="s">
        <v>2910</v>
      </c>
    </row>
    <row r="3172" customFormat="false" ht="13.5" hidden="false" customHeight="true" outlineLevel="0" collapsed="false">
      <c r="A3172" s="17" t="s">
        <v>452</v>
      </c>
      <c r="B3172" s="18" t="s">
        <v>2911</v>
      </c>
    </row>
    <row r="3173" customFormat="false" ht="139.5" hidden="false" customHeight="true" outlineLevel="0" collapsed="false">
      <c r="A3173" s="17" t="s">
        <v>454</v>
      </c>
      <c r="B3173" s="4" t="s">
        <v>2912</v>
      </c>
    </row>
    <row r="3174" customFormat="false" ht="13.5" hidden="false" customHeight="true" outlineLevel="0" collapsed="false">
      <c r="A3174" s="17" t="s">
        <v>456</v>
      </c>
      <c r="B3174" s="19" t="s">
        <v>457</v>
      </c>
    </row>
    <row r="3175" customFormat="false" ht="13.5" hidden="false" customHeight="true" outlineLevel="0" collapsed="false">
      <c r="A3175" s="17" t="s">
        <v>2913</v>
      </c>
      <c r="B3175" s="4" t="s">
        <v>2914</v>
      </c>
    </row>
    <row r="3176" customFormat="false" ht="13.5" hidden="false" customHeight="true" outlineLevel="0" collapsed="false">
      <c r="A3176" s="17"/>
      <c r="B3176" s="18" t="s">
        <v>2915</v>
      </c>
    </row>
    <row r="3177" customFormat="false" ht="27.75" hidden="false" customHeight="true" outlineLevel="0" collapsed="false">
      <c r="A3177" s="17"/>
      <c r="B3177" s="4" t="s">
        <v>2916</v>
      </c>
    </row>
    <row r="3178" customFormat="false" ht="13.5" hidden="false" customHeight="true" outlineLevel="0" collapsed="false">
      <c r="A3178" s="17"/>
      <c r="B3178" s="18" t="s">
        <v>2917</v>
      </c>
    </row>
    <row r="3179" customFormat="false" ht="13.5" hidden="false" customHeight="true" outlineLevel="0" collapsed="false">
      <c r="A3179" s="17"/>
      <c r="B3179" s="4" t="s">
        <v>2918</v>
      </c>
    </row>
    <row r="3180" customFormat="false" ht="13.5" hidden="false" customHeight="true" outlineLevel="0" collapsed="false">
      <c r="A3180" s="17"/>
      <c r="B3180" s="18" t="s">
        <v>2919</v>
      </c>
    </row>
    <row r="3181" customFormat="false" ht="13.5" hidden="false" customHeight="true" outlineLevel="0" collapsed="false">
      <c r="A3181" s="17"/>
      <c r="B3181" s="4" t="s">
        <v>2920</v>
      </c>
    </row>
    <row r="3182" customFormat="false" ht="13.5" hidden="false" customHeight="true" outlineLevel="0" collapsed="false">
      <c r="A3182" s="17"/>
      <c r="B3182" s="18" t="s">
        <v>2921</v>
      </c>
    </row>
    <row r="3183" customFormat="false" ht="13.5" hidden="false" customHeight="true" outlineLevel="0" collapsed="false">
      <c r="A3183" s="17"/>
      <c r="B3183" s="4" t="s">
        <v>2922</v>
      </c>
    </row>
    <row r="3184" customFormat="false" ht="13.5" hidden="false" customHeight="true" outlineLevel="0" collapsed="false">
      <c r="A3184" s="17"/>
      <c r="B3184" s="18" t="s">
        <v>2923</v>
      </c>
    </row>
    <row r="3185" customFormat="false" ht="13.5" hidden="false" customHeight="true" outlineLevel="0" collapsed="false">
      <c r="A3185" s="17"/>
      <c r="B3185" s="4" t="s">
        <v>2924</v>
      </c>
    </row>
    <row r="3186" customFormat="false" ht="13.5" hidden="false" customHeight="true" outlineLevel="0" collapsed="false">
      <c r="A3186" s="17"/>
      <c r="B3186" s="18" t="s">
        <v>2925</v>
      </c>
    </row>
    <row r="3187" customFormat="false" ht="13.5" hidden="false" customHeight="true" outlineLevel="0" collapsed="false">
      <c r="A3187" s="17"/>
      <c r="B3187" s="4" t="s">
        <v>2926</v>
      </c>
    </row>
    <row r="3188" customFormat="false" ht="13.5" hidden="false" customHeight="true" outlineLevel="0" collapsed="false">
      <c r="A3188" s="17"/>
      <c r="B3188" s="18" t="s">
        <v>2927</v>
      </c>
    </row>
    <row r="3189" customFormat="false" ht="27.75" hidden="false" customHeight="true" outlineLevel="0" collapsed="false">
      <c r="A3189" s="17"/>
      <c r="B3189" s="4" t="s">
        <v>2928</v>
      </c>
    </row>
    <row r="3190" customFormat="false" ht="13.5" hidden="false" customHeight="true" outlineLevel="0" collapsed="false">
      <c r="A3190" s="17"/>
      <c r="B3190" s="18" t="s">
        <v>2929</v>
      </c>
    </row>
    <row r="3191" customFormat="false" ht="27.75" hidden="false" customHeight="true" outlineLevel="0" collapsed="false">
      <c r="A3191" s="17"/>
      <c r="B3191" s="4" t="s">
        <v>2930</v>
      </c>
    </row>
    <row r="3192" customFormat="false" ht="13.5" hidden="false" customHeight="true" outlineLevel="0" collapsed="false">
      <c r="A3192" s="17"/>
      <c r="B3192" s="18" t="s">
        <v>2931</v>
      </c>
    </row>
    <row r="3193" customFormat="false" ht="13.5" hidden="false" customHeight="true" outlineLevel="0" collapsed="false">
      <c r="A3193" s="17"/>
      <c r="B3193" s="4" t="s">
        <v>2932</v>
      </c>
    </row>
    <row r="3194" customFormat="false" ht="27.75" hidden="false" customHeight="true" outlineLevel="0" collapsed="false">
      <c r="A3194" s="17"/>
      <c r="B3194" s="18" t="s">
        <v>2933</v>
      </c>
    </row>
    <row r="3195" customFormat="false" ht="13.5" hidden="false" customHeight="true" outlineLevel="0" collapsed="false">
      <c r="A3195" s="17"/>
      <c r="B3195" s="4" t="s">
        <v>2934</v>
      </c>
    </row>
    <row r="3196" customFormat="false" ht="13.5" hidden="false" customHeight="true" outlineLevel="0" collapsed="false">
      <c r="A3196" s="17"/>
      <c r="B3196" s="18" t="s">
        <v>2935</v>
      </c>
    </row>
    <row r="3197" customFormat="false" ht="13.5" hidden="false" customHeight="true" outlineLevel="0" collapsed="false">
      <c r="A3197" s="17"/>
      <c r="B3197" s="4" t="s">
        <v>2936</v>
      </c>
    </row>
    <row r="3198" customFormat="false" ht="13.5" hidden="false" customHeight="true" outlineLevel="0" collapsed="false">
      <c r="A3198" s="17"/>
      <c r="B3198" s="18" t="s">
        <v>2937</v>
      </c>
    </row>
    <row r="3199" customFormat="false" ht="13.5" hidden="false" customHeight="true" outlineLevel="0" collapsed="false">
      <c r="A3199" s="17"/>
      <c r="B3199" s="4" t="s">
        <v>1978</v>
      </c>
    </row>
    <row r="3200" customFormat="false" ht="13.5" hidden="false" customHeight="true" outlineLevel="0" collapsed="false">
      <c r="A3200" s="17"/>
      <c r="B3200" s="18" t="s">
        <v>2938</v>
      </c>
    </row>
    <row r="3201" customFormat="false" ht="13.5" hidden="false" customHeight="true" outlineLevel="0" collapsed="false">
      <c r="A3201" s="17"/>
      <c r="B3201" s="4" t="s">
        <v>2939</v>
      </c>
    </row>
    <row r="3202" customFormat="false" ht="13.5" hidden="false" customHeight="true" outlineLevel="0" collapsed="false">
      <c r="A3202" s="17"/>
      <c r="B3202" s="18" t="s">
        <v>2940</v>
      </c>
    </row>
    <row r="3203" customFormat="false" ht="27.75" hidden="false" customHeight="true" outlineLevel="0" collapsed="false">
      <c r="A3203" s="17"/>
      <c r="B3203" s="4" t="s">
        <v>2941</v>
      </c>
    </row>
    <row r="3204" customFormat="false" ht="13.5" hidden="false" customHeight="true" outlineLevel="0" collapsed="false">
      <c r="A3204" s="17"/>
      <c r="B3204" s="18" t="s">
        <v>2942</v>
      </c>
    </row>
    <row r="3205" customFormat="false" ht="27.75" hidden="false" customHeight="true" outlineLevel="0" collapsed="false">
      <c r="A3205" s="17"/>
      <c r="B3205" s="4" t="s">
        <v>1980</v>
      </c>
    </row>
    <row r="3206" customFormat="false" ht="13.5" hidden="false" customHeight="true" outlineLevel="0" collapsed="false">
      <c r="A3206" s="17"/>
      <c r="B3206" s="18" t="s">
        <v>2943</v>
      </c>
    </row>
    <row r="3207" customFormat="false" ht="13.5" hidden="false" customHeight="true" outlineLevel="0" collapsed="false">
      <c r="A3207" s="17"/>
      <c r="B3207" s="4" t="s">
        <v>2944</v>
      </c>
    </row>
    <row r="3208" customFormat="false" ht="13.5" hidden="false" customHeight="true" outlineLevel="0" collapsed="false">
      <c r="A3208" s="17"/>
      <c r="B3208" s="18" t="s">
        <v>2945</v>
      </c>
    </row>
    <row r="3209" customFormat="false" ht="13.5" hidden="false" customHeight="true" outlineLevel="0" collapsed="false">
      <c r="A3209" s="17"/>
      <c r="B3209" s="4" t="s">
        <v>2946</v>
      </c>
    </row>
    <row r="3210" customFormat="false" ht="13.5" hidden="false" customHeight="true" outlineLevel="0" collapsed="false">
      <c r="A3210" s="17"/>
      <c r="B3210" s="18" t="s">
        <v>2947</v>
      </c>
    </row>
    <row r="3211" customFormat="false" ht="13.5" hidden="false" customHeight="true" outlineLevel="0" collapsed="false">
      <c r="A3211" s="17"/>
      <c r="B3211" s="4" t="s">
        <v>2948</v>
      </c>
    </row>
    <row r="3212" customFormat="false" ht="13.5" hidden="false" customHeight="true" outlineLevel="0" collapsed="false">
      <c r="A3212" s="17"/>
      <c r="B3212" s="18" t="s">
        <v>2949</v>
      </c>
    </row>
    <row r="3213" customFormat="false" ht="13.5" hidden="false" customHeight="true" outlineLevel="0" collapsed="false">
      <c r="A3213" s="17"/>
      <c r="B3213" s="4" t="s">
        <v>2950</v>
      </c>
    </row>
    <row r="3214" customFormat="false" ht="13.5" hidden="false" customHeight="true" outlineLevel="0" collapsed="false">
      <c r="A3214" s="17"/>
      <c r="B3214" s="18" t="s">
        <v>2951</v>
      </c>
    </row>
    <row r="3215" customFormat="false" ht="27.75" hidden="false" customHeight="true" outlineLevel="0" collapsed="false">
      <c r="A3215" s="17"/>
      <c r="B3215" s="4" t="s">
        <v>2952</v>
      </c>
    </row>
    <row r="3216" customFormat="false" ht="27.75" hidden="false" customHeight="true" outlineLevel="0" collapsed="false">
      <c r="A3216" s="17"/>
      <c r="B3216" s="18" t="s">
        <v>2953</v>
      </c>
    </row>
    <row r="3217" customFormat="false" ht="27.75" hidden="false" customHeight="true" outlineLevel="0" collapsed="false">
      <c r="A3217" s="17"/>
      <c r="B3217" s="4" t="s">
        <v>2954</v>
      </c>
    </row>
    <row r="3218" customFormat="false" ht="13.5" hidden="false" customHeight="true" outlineLevel="0" collapsed="false">
      <c r="A3218" s="17"/>
      <c r="B3218" s="18" t="s">
        <v>2955</v>
      </c>
    </row>
    <row r="3219" customFormat="false" ht="13.5" hidden="false" customHeight="true" outlineLevel="0" collapsed="false">
      <c r="A3219" s="17"/>
      <c r="B3219" s="4" t="s">
        <v>2956</v>
      </c>
    </row>
    <row r="3220" customFormat="false" ht="13.5" hidden="false" customHeight="true" outlineLevel="0" collapsed="false">
      <c r="A3220" s="17"/>
      <c r="B3220" s="18" t="s">
        <v>2957</v>
      </c>
    </row>
    <row r="3221" customFormat="false" ht="13.5" hidden="false" customHeight="true" outlineLevel="0" collapsed="false">
      <c r="A3221" s="17"/>
      <c r="B3221" s="4" t="s">
        <v>2958</v>
      </c>
    </row>
    <row r="3222" customFormat="false" ht="13.5" hidden="false" customHeight="true" outlineLevel="0" collapsed="false">
      <c r="A3222" s="17"/>
      <c r="B3222" s="18" t="s">
        <v>2959</v>
      </c>
    </row>
    <row r="3223" customFormat="false" ht="13.5" hidden="false" customHeight="true" outlineLevel="0" collapsed="false">
      <c r="A3223" s="17"/>
      <c r="B3223" s="4" t="s">
        <v>2960</v>
      </c>
    </row>
    <row r="3224" customFormat="false" ht="13.5" hidden="false" customHeight="true" outlineLevel="0" collapsed="false">
      <c r="A3224" s="17"/>
      <c r="B3224" s="18" t="s">
        <v>2961</v>
      </c>
    </row>
    <row r="3225" customFormat="false" ht="13.5" hidden="false" customHeight="true" outlineLevel="0" collapsed="false">
      <c r="A3225" s="17"/>
      <c r="B3225" s="4" t="s">
        <v>2962</v>
      </c>
    </row>
    <row r="3226" customFormat="false" ht="13.5" hidden="false" customHeight="true" outlineLevel="0" collapsed="false">
      <c r="A3226" s="17"/>
      <c r="B3226" s="18" t="s">
        <v>2963</v>
      </c>
    </row>
    <row r="3227" customFormat="false" ht="13.5" hidden="false" customHeight="true" outlineLevel="0" collapsed="false">
      <c r="A3227" s="17"/>
      <c r="B3227" s="4" t="s">
        <v>2964</v>
      </c>
    </row>
    <row r="3228" customFormat="false" ht="13.5" hidden="false" customHeight="true" outlineLevel="0" collapsed="false">
      <c r="A3228" s="17"/>
      <c r="B3228" s="18" t="s">
        <v>2965</v>
      </c>
    </row>
    <row r="3229" customFormat="false" ht="13.5" hidden="false" customHeight="true" outlineLevel="0" collapsed="false">
      <c r="A3229" s="17"/>
      <c r="B3229" s="4" t="s">
        <v>2966</v>
      </c>
    </row>
    <row r="3230" customFormat="false" ht="13.5" hidden="false" customHeight="true" outlineLevel="0" collapsed="false">
      <c r="A3230" s="17"/>
      <c r="B3230" s="18" t="s">
        <v>2967</v>
      </c>
    </row>
    <row r="3233" customFormat="false" ht="15" hidden="false" customHeight="false" outlineLevel="0" collapsed="false">
      <c r="A3233" s="15" t="s">
        <v>424</v>
      </c>
      <c r="B3233" s="15" t="s">
        <v>2968</v>
      </c>
    </row>
    <row r="3234" customFormat="false" ht="15" hidden="false" customHeight="false" outlineLevel="0" collapsed="false">
      <c r="B3234" s="16" t="str">
        <f aca="false">HYPERLINK("#Label!G145","← Back to label (row 145)")</f>
        <v>← Back to label (row 145)</v>
      </c>
    </row>
    <row r="3235" customFormat="false" ht="13.5" hidden="false" customHeight="true" outlineLevel="0" collapsed="false">
      <c r="A3235" s="17" t="s">
        <v>24</v>
      </c>
      <c r="B3235" s="18" t="s">
        <v>71</v>
      </c>
    </row>
    <row r="3236" customFormat="false" ht="13.5" hidden="false" customHeight="true" outlineLevel="0" collapsed="false">
      <c r="A3236" s="17" t="s">
        <v>450</v>
      </c>
      <c r="B3236" s="4" t="s">
        <v>2969</v>
      </c>
    </row>
    <row r="3237" customFormat="false" ht="13.5" hidden="false" customHeight="true" outlineLevel="0" collapsed="false">
      <c r="A3237" s="17" t="s">
        <v>454</v>
      </c>
      <c r="B3237" s="19" t="s">
        <v>486</v>
      </c>
    </row>
    <row r="3238" customFormat="false" ht="13.5" hidden="false" customHeight="true" outlineLevel="0" collapsed="false">
      <c r="A3238" s="17" t="s">
        <v>456</v>
      </c>
      <c r="B3238" s="20" t="s">
        <v>457</v>
      </c>
    </row>
    <row r="3239" customFormat="false" ht="13.5" hidden="false" customHeight="true" outlineLevel="0" collapsed="false">
      <c r="A3239" s="17" t="s">
        <v>500</v>
      </c>
      <c r="B3239" s="18" t="s">
        <v>2970</v>
      </c>
    </row>
    <row r="3240" customFormat="false" ht="13.5" hidden="false" customHeight="true" outlineLevel="0" collapsed="false">
      <c r="A3240" s="17"/>
      <c r="B3240" s="4" t="s">
        <v>2971</v>
      </c>
    </row>
    <row r="3241" customFormat="false" ht="13.5" hidden="false" customHeight="true" outlineLevel="0" collapsed="false">
      <c r="A3241" s="17"/>
      <c r="B3241" s="18" t="s">
        <v>2972</v>
      </c>
    </row>
    <row r="3244" customFormat="false" ht="15" hidden="false" customHeight="false" outlineLevel="0" collapsed="false">
      <c r="A3244" s="15" t="s">
        <v>426</v>
      </c>
      <c r="B3244" s="15" t="s">
        <v>427</v>
      </c>
    </row>
    <row r="3245" customFormat="false" ht="15" hidden="false" customHeight="false" outlineLevel="0" collapsed="false">
      <c r="B3245" s="16" t="str">
        <f aca="false">HYPERLINK("#Label!G146","← Back to label (row 146)")</f>
        <v>← Back to label (row 146)</v>
      </c>
    </row>
    <row r="3246" customFormat="false" ht="13.5" hidden="false" customHeight="true" outlineLevel="0" collapsed="false">
      <c r="A3246" s="17" t="s">
        <v>24</v>
      </c>
      <c r="B3246" s="18" t="s">
        <v>157</v>
      </c>
    </row>
    <row r="3247" customFormat="false" ht="13.5" hidden="false" customHeight="true" outlineLevel="0" collapsed="false">
      <c r="A3247" s="17" t="s">
        <v>450</v>
      </c>
      <c r="B3247" s="4" t="s">
        <v>2973</v>
      </c>
    </row>
    <row r="3248" customFormat="false" ht="13.5" hidden="false" customHeight="true" outlineLevel="0" collapsed="false">
      <c r="A3248" s="17" t="s">
        <v>454</v>
      </c>
      <c r="B3248" s="19" t="s">
        <v>486</v>
      </c>
    </row>
    <row r="3249" customFormat="false" ht="13.5" hidden="false" customHeight="true" outlineLevel="0" collapsed="false">
      <c r="A3249" s="17" t="s">
        <v>456</v>
      </c>
      <c r="B3249" s="20" t="s">
        <v>457</v>
      </c>
    </row>
    <row r="3250" customFormat="false" ht="13.5" hidden="false" customHeight="true" outlineLevel="0" collapsed="false">
      <c r="A3250" s="17" t="s">
        <v>519</v>
      </c>
      <c r="B3250" s="18" t="s">
        <v>2974</v>
      </c>
    </row>
    <row r="3253" customFormat="false" ht="15" hidden="false" customHeight="false" outlineLevel="0" collapsed="false">
      <c r="A3253" s="15" t="s">
        <v>428</v>
      </c>
      <c r="B3253" s="15" t="s">
        <v>429</v>
      </c>
    </row>
    <row r="3254" customFormat="false" ht="15" hidden="false" customHeight="false" outlineLevel="0" collapsed="false">
      <c r="B3254" s="16" t="str">
        <f aca="false">HYPERLINK("#Label!G147","← Back to label (row 147)")</f>
        <v>← Back to label (row 147)</v>
      </c>
    </row>
    <row r="3255" customFormat="false" ht="13.5" hidden="false" customHeight="true" outlineLevel="0" collapsed="false">
      <c r="A3255" s="17" t="s">
        <v>24</v>
      </c>
      <c r="B3255" s="18" t="s">
        <v>49</v>
      </c>
    </row>
    <row r="3256" customFormat="false" ht="13.5" hidden="false" customHeight="true" outlineLevel="0" collapsed="false">
      <c r="A3256" s="17" t="s">
        <v>450</v>
      </c>
      <c r="B3256" s="4" t="s">
        <v>2975</v>
      </c>
    </row>
    <row r="3257" customFormat="false" ht="13.5" hidden="false" customHeight="true" outlineLevel="0" collapsed="false">
      <c r="A3257" s="17" t="s">
        <v>452</v>
      </c>
      <c r="B3257" s="18" t="s">
        <v>2976</v>
      </c>
    </row>
    <row r="3258" customFormat="false" ht="27.75" hidden="false" customHeight="true" outlineLevel="0" collapsed="false">
      <c r="A3258" s="17" t="s">
        <v>454</v>
      </c>
      <c r="B3258" s="4" t="s">
        <v>2977</v>
      </c>
    </row>
    <row r="3259" customFormat="false" ht="13.5" hidden="false" customHeight="true" outlineLevel="0" collapsed="false">
      <c r="A3259" s="17" t="s">
        <v>456</v>
      </c>
      <c r="B3259" s="19" t="s">
        <v>457</v>
      </c>
    </row>
    <row r="3260" customFormat="false" ht="13.5" hidden="false" customHeight="true" outlineLevel="0" collapsed="false">
      <c r="A3260" s="17" t="s">
        <v>500</v>
      </c>
      <c r="B3260" s="4" t="s">
        <v>2978</v>
      </c>
    </row>
    <row r="3261" customFormat="false" ht="13.5" hidden="false" customHeight="true" outlineLevel="0" collapsed="false">
      <c r="A3261" s="17"/>
      <c r="B3261" s="18" t="s">
        <v>2979</v>
      </c>
    </row>
    <row r="3262" customFormat="false" ht="13.5" hidden="false" customHeight="true" outlineLevel="0" collapsed="false">
      <c r="A3262" s="17"/>
      <c r="B3262" s="4" t="s">
        <v>2980</v>
      </c>
    </row>
    <row r="3265" customFormat="false" ht="15" hidden="false" customHeight="false" outlineLevel="0" collapsed="false">
      <c r="A3265" s="15" t="s">
        <v>430</v>
      </c>
      <c r="B3265" s="15" t="s">
        <v>2981</v>
      </c>
    </row>
    <row r="3266" customFormat="false" ht="15" hidden="false" customHeight="false" outlineLevel="0" collapsed="false">
      <c r="B3266" s="16" t="str">
        <f aca="false">HYPERLINK("#Label!G148","← Back to label (row 148)")</f>
        <v>← Back to label (row 148)</v>
      </c>
    </row>
    <row r="3267" customFormat="false" ht="13.5" hidden="false" customHeight="true" outlineLevel="0" collapsed="false">
      <c r="A3267" s="17" t="s">
        <v>24</v>
      </c>
      <c r="B3267" s="18" t="s">
        <v>53</v>
      </c>
    </row>
    <row r="3268" customFormat="false" ht="13.5" hidden="false" customHeight="true" outlineLevel="0" collapsed="false">
      <c r="A3268" s="17" t="s">
        <v>450</v>
      </c>
      <c r="B3268" s="4" t="s">
        <v>2982</v>
      </c>
    </row>
    <row r="3269" customFormat="false" ht="13.5" hidden="false" customHeight="true" outlineLevel="0" collapsed="false">
      <c r="A3269" s="17" t="s">
        <v>452</v>
      </c>
      <c r="B3269" s="18" t="s">
        <v>2983</v>
      </c>
    </row>
    <row r="3270" customFormat="false" ht="97.5" hidden="false" customHeight="true" outlineLevel="0" collapsed="false">
      <c r="A3270" s="17" t="s">
        <v>454</v>
      </c>
      <c r="B3270" s="4" t="s">
        <v>2984</v>
      </c>
    </row>
    <row r="3271" customFormat="false" ht="13.5" hidden="false" customHeight="true" outlineLevel="0" collapsed="false">
      <c r="A3271" s="17" t="s">
        <v>456</v>
      </c>
      <c r="B3271" s="19" t="s">
        <v>457</v>
      </c>
    </row>
    <row r="3272" customFormat="false" ht="13.5" hidden="false" customHeight="true" outlineLevel="0" collapsed="false">
      <c r="A3272" s="17" t="s">
        <v>500</v>
      </c>
      <c r="B3272" s="4" t="s">
        <v>2985</v>
      </c>
    </row>
    <row r="3273" customFormat="false" ht="13.5" hidden="false" customHeight="true" outlineLevel="0" collapsed="false">
      <c r="A3273" s="17"/>
      <c r="B3273" s="18" t="s">
        <v>2986</v>
      </c>
    </row>
    <row r="3274" customFormat="false" ht="13.5" hidden="false" customHeight="true" outlineLevel="0" collapsed="false">
      <c r="A3274" s="17"/>
      <c r="B3274" s="4" t="s">
        <v>2987</v>
      </c>
    </row>
    <row r="3277" customFormat="false" ht="15" hidden="false" customHeight="false" outlineLevel="0" collapsed="false">
      <c r="A3277" s="15" t="s">
        <v>432</v>
      </c>
      <c r="B3277" s="15" t="s">
        <v>2988</v>
      </c>
    </row>
    <row r="3278" customFormat="false" ht="15" hidden="false" customHeight="false" outlineLevel="0" collapsed="false">
      <c r="B3278" s="16" t="str">
        <f aca="false">HYPERLINK("#Label!G149","← Back to label (row 149)")</f>
        <v>← Back to label (row 149)</v>
      </c>
    </row>
    <row r="3279" customFormat="false" ht="13.5" hidden="false" customHeight="true" outlineLevel="0" collapsed="false">
      <c r="A3279" s="17" t="s">
        <v>24</v>
      </c>
      <c r="B3279" s="18" t="s">
        <v>106</v>
      </c>
    </row>
    <row r="3280" customFormat="false" ht="13.5" hidden="false" customHeight="true" outlineLevel="0" collapsed="false">
      <c r="A3280" s="17" t="s">
        <v>450</v>
      </c>
      <c r="B3280" s="4" t="s">
        <v>2989</v>
      </c>
    </row>
    <row r="3281" customFormat="false" ht="13.5" hidden="false" customHeight="true" outlineLevel="0" collapsed="false">
      <c r="A3281" s="17" t="s">
        <v>452</v>
      </c>
      <c r="B3281" s="18" t="s">
        <v>2990</v>
      </c>
    </row>
    <row r="3282" customFormat="false" ht="111.75" hidden="false" customHeight="true" outlineLevel="0" collapsed="false">
      <c r="A3282" s="17" t="s">
        <v>454</v>
      </c>
      <c r="B3282" s="4" t="s">
        <v>2991</v>
      </c>
    </row>
    <row r="3283" customFormat="false" ht="13.5" hidden="false" customHeight="true" outlineLevel="0" collapsed="false">
      <c r="A3283" s="17" t="s">
        <v>456</v>
      </c>
      <c r="B3283" s="19" t="s">
        <v>457</v>
      </c>
    </row>
    <row r="3284" customFormat="false" ht="13.5" hidden="false" customHeight="true" outlineLevel="0" collapsed="false">
      <c r="A3284" s="17" t="s">
        <v>508</v>
      </c>
      <c r="B3284" s="20" t="s">
        <v>509</v>
      </c>
    </row>
    <row r="3287" customFormat="false" ht="15" hidden="false" customHeight="false" outlineLevel="0" collapsed="false">
      <c r="A3287" s="15" t="s">
        <v>435</v>
      </c>
      <c r="B3287" s="15" t="s">
        <v>2992</v>
      </c>
    </row>
    <row r="3288" customFormat="false" ht="15" hidden="false" customHeight="false" outlineLevel="0" collapsed="false">
      <c r="B3288" s="16" t="str">
        <f aca="false">HYPERLINK("#Label!G150","← Back to label (row 150)")</f>
        <v>← Back to label (row 150)</v>
      </c>
    </row>
    <row r="3289" customFormat="false" ht="13.5" hidden="false" customHeight="true" outlineLevel="0" collapsed="false">
      <c r="A3289" s="17" t="s">
        <v>24</v>
      </c>
      <c r="B3289" s="18" t="s">
        <v>153</v>
      </c>
    </row>
    <row r="3290" customFormat="false" ht="13.5" hidden="false" customHeight="true" outlineLevel="0" collapsed="false">
      <c r="A3290" s="17" t="s">
        <v>450</v>
      </c>
      <c r="B3290" s="4" t="s">
        <v>2993</v>
      </c>
    </row>
    <row r="3291" customFormat="false" ht="13.5" hidden="false" customHeight="true" outlineLevel="0" collapsed="false">
      <c r="A3291" s="17" t="s">
        <v>452</v>
      </c>
      <c r="B3291" s="18" t="s">
        <v>2994</v>
      </c>
    </row>
    <row r="3292" customFormat="false" ht="55.5" hidden="false" customHeight="true" outlineLevel="0" collapsed="false">
      <c r="A3292" s="17" t="s">
        <v>454</v>
      </c>
      <c r="B3292" s="4" t="s">
        <v>2995</v>
      </c>
    </row>
    <row r="3293" customFormat="false" ht="13.5" hidden="false" customHeight="true" outlineLevel="0" collapsed="false">
      <c r="A3293" s="17" t="s">
        <v>456</v>
      </c>
      <c r="B3293" s="19" t="s">
        <v>457</v>
      </c>
    </row>
    <row r="3294" customFormat="false" ht="13.5" hidden="false" customHeight="true" outlineLevel="0" collapsed="false">
      <c r="A3294" s="17" t="s">
        <v>1195</v>
      </c>
      <c r="B3294" s="4" t="s">
        <v>2996</v>
      </c>
    </row>
    <row r="3295" customFormat="false" ht="13.5" hidden="false" customHeight="true" outlineLevel="0" collapsed="false">
      <c r="A3295" s="17"/>
      <c r="B3295" s="18" t="s">
        <v>2997</v>
      </c>
    </row>
    <row r="3296" customFormat="false" ht="13.5" hidden="false" customHeight="true" outlineLevel="0" collapsed="false">
      <c r="A3296" s="17"/>
      <c r="B3296" s="4" t="s">
        <v>2998</v>
      </c>
    </row>
    <row r="3297" customFormat="false" ht="13.5" hidden="false" customHeight="true" outlineLevel="0" collapsed="false">
      <c r="A3297" s="17"/>
      <c r="B3297" s="18" t="s">
        <v>2999</v>
      </c>
    </row>
    <row r="3300" customFormat="false" ht="15" hidden="false" customHeight="false" outlineLevel="0" collapsed="false">
      <c r="A3300" s="15" t="s">
        <v>437</v>
      </c>
      <c r="B3300" s="15" t="s">
        <v>438</v>
      </c>
    </row>
    <row r="3301" customFormat="false" ht="15" hidden="false" customHeight="false" outlineLevel="0" collapsed="false">
      <c r="B3301" s="16" t="str">
        <f aca="false">HYPERLINK("#Label!G151","← Back to label (row 151)")</f>
        <v>← Back to label (row 151)</v>
      </c>
    </row>
    <row r="3302" customFormat="false" ht="13.5" hidden="false" customHeight="true" outlineLevel="0" collapsed="false">
      <c r="A3302" s="17" t="s">
        <v>24</v>
      </c>
      <c r="B3302" s="18" t="s">
        <v>59</v>
      </c>
    </row>
    <row r="3303" customFormat="false" ht="13.5" hidden="false" customHeight="true" outlineLevel="0" collapsed="false">
      <c r="A3303" s="17" t="s">
        <v>450</v>
      </c>
      <c r="B3303" s="4" t="s">
        <v>3000</v>
      </c>
    </row>
    <row r="3304" customFormat="false" ht="13.5" hidden="false" customHeight="true" outlineLevel="0" collapsed="false">
      <c r="A3304" s="17" t="s">
        <v>452</v>
      </c>
      <c r="B3304" s="18" t="s">
        <v>3001</v>
      </c>
    </row>
    <row r="3305" customFormat="false" ht="13.5" hidden="false" customHeight="true" outlineLevel="0" collapsed="false">
      <c r="A3305" s="17" t="s">
        <v>454</v>
      </c>
      <c r="B3305" s="20" t="s">
        <v>486</v>
      </c>
    </row>
    <row r="3306" customFormat="false" ht="13.5" hidden="false" customHeight="true" outlineLevel="0" collapsed="false">
      <c r="A3306" s="17" t="s">
        <v>456</v>
      </c>
      <c r="B3306" s="19" t="s">
        <v>457</v>
      </c>
    </row>
    <row r="3307" customFormat="false" ht="13.5" hidden="false" customHeight="true" outlineLevel="0" collapsed="false">
      <c r="A3307" s="17" t="s">
        <v>508</v>
      </c>
      <c r="B3307" s="20" t="s">
        <v>509</v>
      </c>
    </row>
    <row r="3310" customFormat="false" ht="15" hidden="false" customHeight="false" outlineLevel="0" collapsed="false">
      <c r="A3310" s="15" t="s">
        <v>439</v>
      </c>
      <c r="B3310" s="15" t="s">
        <v>3002</v>
      </c>
    </row>
    <row r="3311" customFormat="false" ht="15" hidden="false" customHeight="false" outlineLevel="0" collapsed="false">
      <c r="B3311" s="16" t="str">
        <f aca="false">HYPERLINK("#Label!G152","← Back to label (row 152)")</f>
        <v>← Back to label (row 152)</v>
      </c>
    </row>
    <row r="3312" customFormat="false" ht="13.5" hidden="false" customHeight="true" outlineLevel="0" collapsed="false">
      <c r="A3312" s="17" t="s">
        <v>24</v>
      </c>
      <c r="B3312" s="18" t="s">
        <v>106</v>
      </c>
    </row>
    <row r="3313" customFormat="false" ht="13.5" hidden="false" customHeight="true" outlineLevel="0" collapsed="false">
      <c r="A3313" s="17" t="s">
        <v>450</v>
      </c>
      <c r="B3313" s="4" t="s">
        <v>3003</v>
      </c>
    </row>
    <row r="3314" customFormat="false" ht="13.5" hidden="false" customHeight="true" outlineLevel="0" collapsed="false">
      <c r="A3314" s="17" t="s">
        <v>452</v>
      </c>
      <c r="B3314" s="18" t="s">
        <v>3004</v>
      </c>
    </row>
    <row r="3315" customFormat="false" ht="139.5" hidden="false" customHeight="true" outlineLevel="0" collapsed="false">
      <c r="A3315" s="17" t="s">
        <v>454</v>
      </c>
      <c r="B3315" s="4" t="s">
        <v>3005</v>
      </c>
    </row>
    <row r="3316" customFormat="false" ht="13.5" hidden="false" customHeight="true" outlineLevel="0" collapsed="false">
      <c r="A3316" s="17" t="s">
        <v>456</v>
      </c>
      <c r="B3316" s="19" t="s">
        <v>457</v>
      </c>
    </row>
    <row r="3317" customFormat="false" ht="13.5" hidden="false" customHeight="true" outlineLevel="0" collapsed="false">
      <c r="A3317" s="17" t="s">
        <v>1160</v>
      </c>
      <c r="B3317" s="4" t="s">
        <v>3006</v>
      </c>
    </row>
    <row r="3318" customFormat="false" ht="13.5" hidden="false" customHeight="true" outlineLevel="0" collapsed="false">
      <c r="A3318" s="17"/>
      <c r="B3318" s="18" t="s">
        <v>3007</v>
      </c>
    </row>
    <row r="3319" customFormat="false" ht="13.5" hidden="false" customHeight="true" outlineLevel="0" collapsed="false">
      <c r="A3319" s="17"/>
      <c r="B3319" s="4" t="s">
        <v>3008</v>
      </c>
    </row>
    <row r="3320" customFormat="false" ht="27.75" hidden="false" customHeight="true" outlineLevel="0" collapsed="false">
      <c r="A3320" s="17"/>
      <c r="B3320" s="18" t="s">
        <v>3009</v>
      </c>
    </row>
    <row r="3321" customFormat="false" ht="13.5" hidden="false" customHeight="true" outlineLevel="0" collapsed="false">
      <c r="A3321" s="17"/>
      <c r="B3321" s="4" t="s">
        <v>3010</v>
      </c>
    </row>
    <row r="3322" customFormat="false" ht="13.5" hidden="false" customHeight="true" outlineLevel="0" collapsed="false">
      <c r="A3322" s="17"/>
      <c r="B3322" s="18" t="s">
        <v>3011</v>
      </c>
    </row>
    <row r="3323" customFormat="false" ht="13.5" hidden="false" customHeight="true" outlineLevel="0" collapsed="false">
      <c r="A3323" s="17"/>
      <c r="B3323" s="4" t="s">
        <v>3012</v>
      </c>
    </row>
    <row r="3324" customFormat="false" ht="13.5" hidden="false" customHeight="true" outlineLevel="0" collapsed="false">
      <c r="A3324" s="17"/>
      <c r="B3324" s="18" t="s">
        <v>3013</v>
      </c>
    </row>
    <row r="3325" customFormat="false" ht="13.5" hidden="false" customHeight="true" outlineLevel="0" collapsed="false">
      <c r="A3325" s="17"/>
      <c r="B3325" s="4" t="s">
        <v>3014</v>
      </c>
    </row>
    <row r="3326" customFormat="false" ht="13.5" hidden="false" customHeight="true" outlineLevel="0" collapsed="false">
      <c r="A3326" s="17"/>
      <c r="B3326" s="18" t="s">
        <v>3015</v>
      </c>
    </row>
    <row r="3327" customFormat="false" ht="13.5" hidden="false" customHeight="true" outlineLevel="0" collapsed="false">
      <c r="A3327" s="17"/>
      <c r="B3327" s="4" t="s">
        <v>3016</v>
      </c>
    </row>
    <row r="3328" customFormat="false" ht="13.5" hidden="false" customHeight="true" outlineLevel="0" collapsed="false">
      <c r="A3328" s="17"/>
      <c r="B3328" s="18" t="s">
        <v>3017</v>
      </c>
    </row>
    <row r="3329" customFormat="false" ht="13.5" hidden="false" customHeight="true" outlineLevel="0" collapsed="false">
      <c r="A3329" s="17"/>
      <c r="B3329" s="4" t="s">
        <v>3018</v>
      </c>
    </row>
    <row r="3330" customFormat="false" ht="13.5" hidden="false" customHeight="true" outlineLevel="0" collapsed="false">
      <c r="A3330" s="17"/>
      <c r="B3330" s="18" t="s">
        <v>3019</v>
      </c>
    </row>
    <row r="3331" customFormat="false" ht="13.5" hidden="false" customHeight="true" outlineLevel="0" collapsed="false">
      <c r="A3331" s="17"/>
      <c r="B3331" s="4" t="s">
        <v>3020</v>
      </c>
    </row>
    <row r="3332" customFormat="false" ht="13.5" hidden="false" customHeight="true" outlineLevel="0" collapsed="false">
      <c r="A3332" s="17"/>
      <c r="B3332" s="18" t="s">
        <v>3021</v>
      </c>
    </row>
    <row r="3333" customFormat="false" ht="13.5" hidden="false" customHeight="true" outlineLevel="0" collapsed="false">
      <c r="A3333" s="17"/>
      <c r="B3333" s="4" t="s">
        <v>3022</v>
      </c>
    </row>
    <row r="3334" customFormat="false" ht="13.5" hidden="false" customHeight="true" outlineLevel="0" collapsed="false">
      <c r="A3334" s="17"/>
      <c r="B3334" s="18" t="s">
        <v>3023</v>
      </c>
    </row>
    <row r="3335" customFormat="false" ht="13.5" hidden="false" customHeight="true" outlineLevel="0" collapsed="false">
      <c r="A3335" s="17"/>
      <c r="B3335" s="4" t="s">
        <v>3024</v>
      </c>
    </row>
    <row r="3338" customFormat="false" ht="15" hidden="false" customHeight="false" outlineLevel="0" collapsed="false">
      <c r="A3338" s="15" t="s">
        <v>442</v>
      </c>
      <c r="B3338" s="15" t="s">
        <v>3025</v>
      </c>
    </row>
    <row r="3339" customFormat="false" ht="15" hidden="false" customHeight="false" outlineLevel="0" collapsed="false">
      <c r="B3339" s="16" t="str">
        <f aca="false">HYPERLINK("#Label!G153","← Back to label (row 153)")</f>
        <v>← Back to label (row 153)</v>
      </c>
    </row>
    <row r="3340" customFormat="false" ht="13.5" hidden="false" customHeight="true" outlineLevel="0" collapsed="false">
      <c r="A3340" s="17" t="s">
        <v>24</v>
      </c>
      <c r="B3340" s="18" t="s">
        <v>59</v>
      </c>
    </row>
    <row r="3341" customFormat="false" ht="13.5" hidden="false" customHeight="true" outlineLevel="0" collapsed="false">
      <c r="A3341" s="17" t="s">
        <v>450</v>
      </c>
      <c r="B3341" s="4" t="s">
        <v>3026</v>
      </c>
    </row>
    <row r="3342" customFormat="false" ht="13.5" hidden="false" customHeight="true" outlineLevel="0" collapsed="false">
      <c r="A3342" s="17" t="s">
        <v>452</v>
      </c>
      <c r="B3342" s="18" t="s">
        <v>3027</v>
      </c>
    </row>
    <row r="3343" customFormat="false" ht="13.5" hidden="false" customHeight="true" outlineLevel="0" collapsed="false">
      <c r="A3343" s="17" t="s">
        <v>454</v>
      </c>
      <c r="B3343" s="20" t="s">
        <v>486</v>
      </c>
    </row>
    <row r="3344" customFormat="false" ht="13.5" hidden="false" customHeight="true" outlineLevel="0" collapsed="false">
      <c r="A3344" s="17" t="s">
        <v>456</v>
      </c>
      <c r="B3344" s="19" t="s">
        <v>457</v>
      </c>
    </row>
    <row r="3345" customFormat="false" ht="13.5" hidden="false" customHeight="true" outlineLevel="0" collapsed="false">
      <c r="A3345" s="17" t="s">
        <v>519</v>
      </c>
      <c r="B3345" s="4" t="s">
        <v>3028</v>
      </c>
    </row>
    <row r="3348" customFormat="false" ht="15" hidden="false" customHeight="false" outlineLevel="0" collapsed="false">
      <c r="A3348" s="15" t="s">
        <v>444</v>
      </c>
      <c r="B3348" s="15" t="s">
        <v>3029</v>
      </c>
    </row>
    <row r="3349" customFormat="false" ht="15" hidden="false" customHeight="false" outlineLevel="0" collapsed="false">
      <c r="B3349" s="16" t="str">
        <f aca="false">HYPERLINK("#Label!G154","← Back to label (row 154)")</f>
        <v>← Back to label (row 154)</v>
      </c>
    </row>
    <row r="3350" customFormat="false" ht="13.5" hidden="false" customHeight="true" outlineLevel="0" collapsed="false">
      <c r="A3350" s="17" t="s">
        <v>24</v>
      </c>
      <c r="B3350" s="18" t="s">
        <v>132</v>
      </c>
    </row>
    <row r="3351" customFormat="false" ht="13.5" hidden="false" customHeight="true" outlineLevel="0" collapsed="false">
      <c r="A3351" s="17" t="s">
        <v>450</v>
      </c>
      <c r="B3351" s="4" t="s">
        <v>3030</v>
      </c>
    </row>
    <row r="3352" customFormat="false" ht="13.5" hidden="false" customHeight="true" outlineLevel="0" collapsed="false">
      <c r="A3352" s="17" t="s">
        <v>452</v>
      </c>
      <c r="B3352" s="18" t="s">
        <v>3031</v>
      </c>
    </row>
    <row r="3353" customFormat="false" ht="97.5" hidden="false" customHeight="true" outlineLevel="0" collapsed="false">
      <c r="A3353" s="17" t="s">
        <v>454</v>
      </c>
      <c r="B3353" s="4" t="s">
        <v>3032</v>
      </c>
    </row>
    <row r="3354" customFormat="false" ht="13.5" hidden="false" customHeight="true" outlineLevel="0" collapsed="false">
      <c r="A3354" s="17" t="s">
        <v>456</v>
      </c>
      <c r="B3354" s="19" t="s">
        <v>457</v>
      </c>
    </row>
    <row r="3355" customFormat="false" ht="27.75" hidden="false" customHeight="true" outlineLevel="0" collapsed="false">
      <c r="A3355" s="17" t="s">
        <v>487</v>
      </c>
      <c r="B3355" s="4" t="s">
        <v>3033</v>
      </c>
    </row>
    <row r="3356" customFormat="false" ht="13.5" hidden="false" customHeight="true" outlineLevel="0" collapsed="false">
      <c r="A3356" s="17"/>
      <c r="B3356" s="18" t="s">
        <v>3034</v>
      </c>
    </row>
    <row r="3357" customFormat="false" ht="27.75" hidden="false" customHeight="true" outlineLevel="0" collapsed="false">
      <c r="A3357" s="17"/>
      <c r="B3357" s="4" t="s">
        <v>3035</v>
      </c>
    </row>
    <row r="3358" customFormat="false" ht="27.75" hidden="false" customHeight="true" outlineLevel="0" collapsed="false">
      <c r="A3358" s="17"/>
      <c r="B3358" s="18" t="s">
        <v>3036</v>
      </c>
    </row>
    <row r="3359" customFormat="false" ht="27.75" hidden="false" customHeight="true" outlineLevel="0" collapsed="false">
      <c r="A3359" s="17"/>
      <c r="B3359" s="4" t="s">
        <v>3037</v>
      </c>
    </row>
    <row r="3360" customFormat="false" ht="13.5" hidden="false" customHeight="true" outlineLevel="0" collapsed="false">
      <c r="A3360" s="17"/>
      <c r="B3360" s="18" t="s">
        <v>3038</v>
      </c>
    </row>
    <row r="3361" customFormat="false" ht="13.5" hidden="false" customHeight="true" outlineLevel="0" collapsed="false">
      <c r="A3361" s="17"/>
      <c r="B3361" s="4" t="s">
        <v>3039</v>
      </c>
    </row>
    <row r="3362" customFormat="false" ht="27.75" hidden="false" customHeight="true" outlineLevel="0" collapsed="false">
      <c r="A3362" s="17"/>
      <c r="B3362" s="18" t="s">
        <v>3040</v>
      </c>
    </row>
    <row r="3363" customFormat="false" ht="13.5" hidden="false" customHeight="true" outlineLevel="0" collapsed="false">
      <c r="A3363" s="17"/>
      <c r="B3363" s="4" t="s">
        <v>3041</v>
      </c>
    </row>
    <row r="3364" customFormat="false" ht="13.5" hidden="false" customHeight="true" outlineLevel="0" collapsed="false">
      <c r="A3364" s="17"/>
      <c r="B3364" s="18" t="s">
        <v>3042</v>
      </c>
    </row>
    <row r="3367" customFormat="false" ht="15" hidden="false" customHeight="false" outlineLevel="0" collapsed="false">
      <c r="A3367" s="15" t="s">
        <v>446</v>
      </c>
      <c r="B3367" s="15" t="s">
        <v>3043</v>
      </c>
    </row>
    <row r="3368" customFormat="false" ht="15" hidden="false" customHeight="false" outlineLevel="0" collapsed="false">
      <c r="B3368" s="16" t="str">
        <f aca="false">HYPERLINK("#Label!G155","← Back to label (row 155)")</f>
        <v>← Back to label (row 155)</v>
      </c>
    </row>
    <row r="3369" customFormat="false" ht="27.75" hidden="false" customHeight="true" outlineLevel="0" collapsed="false">
      <c r="A3369" s="17" t="s">
        <v>24</v>
      </c>
      <c r="B3369" s="18" t="s">
        <v>448</v>
      </c>
    </row>
    <row r="3370" customFormat="false" ht="13.5" hidden="false" customHeight="true" outlineLevel="0" collapsed="false">
      <c r="A3370" s="17" t="s">
        <v>450</v>
      </c>
      <c r="B3370" s="4" t="s">
        <v>3044</v>
      </c>
    </row>
    <row r="3371" customFormat="false" ht="13.5" hidden="false" customHeight="true" outlineLevel="0" collapsed="false">
      <c r="A3371" s="17" t="s">
        <v>454</v>
      </c>
      <c r="B3371" s="19" t="s">
        <v>486</v>
      </c>
    </row>
    <row r="3372" customFormat="false" ht="13.5" hidden="false" customHeight="true" outlineLevel="0" collapsed="false">
      <c r="A3372" s="17" t="s">
        <v>456</v>
      </c>
      <c r="B3372" s="20" t="s">
        <v>457</v>
      </c>
    </row>
    <row r="3373" customFormat="false" ht="13.5" hidden="false" customHeight="true" outlineLevel="0" collapsed="false">
      <c r="A3373" s="17" t="s">
        <v>514</v>
      </c>
      <c r="B3373" s="18" t="s">
        <v>3045</v>
      </c>
    </row>
    <row r="3374" customFormat="false" ht="13.5" hidden="false" customHeight="true" outlineLevel="0" collapsed="false">
      <c r="A3374" s="17"/>
      <c r="B3374" s="4" t="s">
        <v>3046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2"/>
  </cols>
  <sheetData>
    <row r="1" customFormat="false" ht="17.35" hidden="false" customHeight="false" outlineLevel="0" collapsed="false">
      <c r="A1" s="21" t="s">
        <v>3047</v>
      </c>
    </row>
    <row r="3" customFormat="false" ht="15" hidden="false" customHeight="false" outlineLevel="0" collapsed="false">
      <c r="A3" s="22" t="s">
        <v>3048</v>
      </c>
      <c r="B3" s="23" t="n">
        <f aca="false">ROWS(Label!A6:A155)</f>
        <v>150</v>
      </c>
    </row>
    <row r="4" customFormat="false" ht="15" hidden="false" customHeight="false" outlineLevel="0" collapsed="false">
      <c r="A4" s="22" t="s">
        <v>3049</v>
      </c>
      <c r="B4" s="23" t="n">
        <f aca="false">COUNTA(Label!G6:G155)</f>
        <v>0</v>
      </c>
    </row>
    <row r="5" customFormat="false" ht="15" hidden="false" customHeight="false" outlineLevel="0" collapsed="false">
      <c r="A5" s="22" t="s">
        <v>3050</v>
      </c>
      <c r="B5" s="23" t="n">
        <f aca="false">B3-B4</f>
        <v>150</v>
      </c>
    </row>
    <row r="6" customFormat="false" ht="15" hidden="false" customHeight="false" outlineLevel="0" collapsed="false">
      <c r="A6" s="22" t="s">
        <v>3051</v>
      </c>
      <c r="B6" s="24" t="n">
        <f aca="false">IF(B3=0,0,B4/B3)</f>
        <v>0</v>
      </c>
    </row>
    <row r="8" customFormat="false" ht="15" hidden="false" customHeight="false" outlineLevel="0" collapsed="false">
      <c r="A8" s="22" t="s">
        <v>8</v>
      </c>
      <c r="B8" s="23" t="n">
        <f aca="false">COUNTIF(Label!G6:G155,"W")</f>
        <v>0</v>
      </c>
    </row>
    <row r="9" customFormat="false" ht="15" hidden="false" customHeight="false" outlineLevel="0" collapsed="false">
      <c r="A9" s="22" t="s">
        <v>10</v>
      </c>
      <c r="B9" s="23" t="n">
        <f aca="false">COUNTIF(Label!G6:G155,"D")</f>
        <v>0</v>
      </c>
    </row>
    <row r="10" customFormat="false" ht="15" hidden="false" customHeight="false" outlineLevel="0" collapsed="false">
      <c r="A10" s="22" t="s">
        <v>12</v>
      </c>
      <c r="B10" s="23" t="n">
        <f aca="false">COUNTIF(Label!G6:G155,"H")</f>
        <v>0</v>
      </c>
    </row>
    <row r="11" customFormat="false" ht="15" hidden="false" customHeight="false" outlineLevel="0" collapsed="false">
      <c r="A11" s="22" t="s">
        <v>14</v>
      </c>
      <c r="B11" s="23" t="n">
        <f aca="false">COUNTIF(Label!G6:G155,"U")</f>
        <v>0</v>
      </c>
    </row>
    <row r="12" customFormat="false" ht="15" hidden="false" customHeight="false" outlineLevel="0" collapsed="false">
      <c r="A12" s="22" t="s">
        <v>3052</v>
      </c>
      <c r="B12" s="23" t="n">
        <f aca="false">B4-COUNT(Label!H6:H155)</f>
        <v>0</v>
      </c>
    </row>
    <row r="15" customFormat="false" ht="15" hidden="false" customHeight="false" outlineLevel="0" collapsed="false">
      <c r="A15" s="6" t="s">
        <v>3053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2026-09-26T22:26:10Z</dcterms:created>
  <dc:creator>openpyxl</dc:creator>
  <dc:description/>
  <dc:language>en-US</dc:language>
  <cp:lastModifiedBy/>
  <dcterms:modified xsi:type="dcterms:W3CDTF">2026-09-26T22:26:10Z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